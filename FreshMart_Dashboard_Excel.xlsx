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fa75a8cefb809a07/Documents/"/>
    </mc:Choice>
  </mc:AlternateContent>
  <xr:revisionPtr revIDLastSave="20" documentId="8_{0CC1E0F3-2917-44C4-9538-858EF8D9C693}" xr6:coauthVersionLast="47" xr6:coauthVersionMax="47" xr10:uidLastSave="{EF754F73-9CD4-4116-9429-0E1999F04B18}"/>
  <bookViews>
    <workbookView xWindow="-110" yWindow="-110" windowWidth="22620" windowHeight="13500" xr2:uid="{FD970CC2-7470-45DB-B73F-CFCCF8F40CB4}"/>
  </bookViews>
  <sheets>
    <sheet name="FreshMart Sales Report 2025" sheetId="3" r:id="rId1"/>
    <sheet name="Insights" sheetId="1" r:id="rId2"/>
    <sheet name="Business Recommedations" sheetId="4" r:id="rId3"/>
    <sheet name="Sales_Data" sheetId="2" r:id="rId4"/>
  </sheets>
  <externalReferences>
    <externalReference r:id="rId5"/>
  </externalReferences>
  <definedNames>
    <definedName name="Slicer_Category">#N/A</definedName>
    <definedName name="Slicer_Month">#N/A</definedName>
    <definedName name="Slicer_Product">#N/A</definedName>
    <definedName name="Slicer_Region">#N/A</definedName>
  </definedNames>
  <calcPr calcId="191029"/>
  <extLst>
    <ext xmlns:x14="http://schemas.microsoft.com/office/spreadsheetml/2009/9/main" uri="{876F7934-8845-4945-9796-88D515C7AA90}">
      <x14:pivotCaches>
        <pivotCache cacheId="8" r:id="rId6"/>
      </x14:pivotCaches>
    </ex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2" l="1"/>
  <c r="P2" i="2"/>
  <c r="D3" i="2"/>
  <c r="P3" i="2"/>
  <c r="D4" i="2"/>
  <c r="P4" i="2"/>
  <c r="D5" i="2"/>
  <c r="P5" i="2"/>
  <c r="D6" i="2"/>
  <c r="P6" i="2"/>
  <c r="D7" i="2"/>
  <c r="P7" i="2"/>
  <c r="D8" i="2"/>
  <c r="P8" i="2"/>
  <c r="D9" i="2"/>
  <c r="P9" i="2"/>
  <c r="D10" i="2"/>
  <c r="P10" i="2"/>
  <c r="D11" i="2"/>
  <c r="P11" i="2"/>
  <c r="D12" i="2"/>
  <c r="P12" i="2"/>
  <c r="D13" i="2"/>
  <c r="P13" i="2"/>
  <c r="D14" i="2"/>
  <c r="P14" i="2"/>
  <c r="D15" i="2"/>
  <c r="P15" i="2"/>
  <c r="D16" i="2"/>
  <c r="P16" i="2"/>
  <c r="D17" i="2"/>
  <c r="P17" i="2"/>
  <c r="D18" i="2"/>
  <c r="P18" i="2"/>
  <c r="D19" i="2"/>
  <c r="P19" i="2"/>
  <c r="D20" i="2"/>
  <c r="P20" i="2"/>
  <c r="D21" i="2"/>
  <c r="P21" i="2"/>
  <c r="D22" i="2"/>
  <c r="P22" i="2"/>
  <c r="D23" i="2"/>
  <c r="P23" i="2"/>
  <c r="D24" i="2"/>
  <c r="P24" i="2"/>
  <c r="D25" i="2"/>
  <c r="P25" i="2"/>
  <c r="D26" i="2"/>
  <c r="P26" i="2"/>
  <c r="D27" i="2"/>
  <c r="P27" i="2"/>
  <c r="D28" i="2"/>
  <c r="P28" i="2"/>
  <c r="D29" i="2"/>
  <c r="P29" i="2"/>
  <c r="D30" i="2"/>
  <c r="P30" i="2"/>
  <c r="D31" i="2"/>
  <c r="P31" i="2"/>
  <c r="D32" i="2"/>
  <c r="P32" i="2"/>
  <c r="D33" i="2"/>
  <c r="P33" i="2"/>
  <c r="D34" i="2"/>
  <c r="P34" i="2"/>
  <c r="D35" i="2"/>
  <c r="P35" i="2"/>
  <c r="D36" i="2"/>
  <c r="P36" i="2"/>
  <c r="D37" i="2"/>
  <c r="P37" i="2"/>
  <c r="D38" i="2"/>
  <c r="P38" i="2"/>
  <c r="D39" i="2"/>
  <c r="P39" i="2"/>
  <c r="D40" i="2"/>
  <c r="P40" i="2"/>
  <c r="D41" i="2"/>
  <c r="P41" i="2"/>
  <c r="D42" i="2"/>
  <c r="P42" i="2"/>
  <c r="D43" i="2"/>
  <c r="P43" i="2"/>
  <c r="D44" i="2"/>
  <c r="P44" i="2"/>
  <c r="D45" i="2"/>
  <c r="P45" i="2"/>
  <c r="D46" i="2"/>
  <c r="P46" i="2"/>
  <c r="D47" i="2"/>
  <c r="P47" i="2"/>
  <c r="D48" i="2"/>
  <c r="P48" i="2"/>
  <c r="D49" i="2"/>
  <c r="P49" i="2"/>
  <c r="D50" i="2"/>
  <c r="P50" i="2"/>
  <c r="D51" i="2"/>
  <c r="P51" i="2"/>
  <c r="D52" i="2"/>
  <c r="P52" i="2"/>
  <c r="D53" i="2"/>
  <c r="P53" i="2"/>
  <c r="D54" i="2"/>
  <c r="P54" i="2"/>
  <c r="D55" i="2"/>
  <c r="P55" i="2"/>
  <c r="D56" i="2"/>
  <c r="P56" i="2"/>
  <c r="D57" i="2"/>
  <c r="P57" i="2"/>
  <c r="D58" i="2"/>
  <c r="P58" i="2"/>
  <c r="D59" i="2"/>
  <c r="P59" i="2"/>
  <c r="D60" i="2"/>
  <c r="P60" i="2"/>
  <c r="D61" i="2"/>
  <c r="P61" i="2"/>
  <c r="D62" i="2"/>
  <c r="P62" i="2"/>
  <c r="D63" i="2"/>
  <c r="P63" i="2"/>
  <c r="D64" i="2"/>
  <c r="P64" i="2"/>
  <c r="D65" i="2"/>
  <c r="P65" i="2"/>
  <c r="D66" i="2"/>
  <c r="P66" i="2"/>
  <c r="D67" i="2"/>
  <c r="P67" i="2"/>
  <c r="D68" i="2"/>
  <c r="P68" i="2"/>
  <c r="D69" i="2"/>
  <c r="P69" i="2"/>
  <c r="D70" i="2"/>
  <c r="P70" i="2"/>
  <c r="D71" i="2"/>
  <c r="P71" i="2"/>
  <c r="D72" i="2"/>
  <c r="P72" i="2"/>
  <c r="D73" i="2"/>
  <c r="P73" i="2"/>
  <c r="D74" i="2"/>
  <c r="P74" i="2"/>
  <c r="D75" i="2"/>
  <c r="P75" i="2"/>
  <c r="D76" i="2"/>
  <c r="P76" i="2"/>
  <c r="D77" i="2"/>
  <c r="P77" i="2"/>
  <c r="D78" i="2"/>
  <c r="P78" i="2"/>
  <c r="D79" i="2"/>
  <c r="P79" i="2"/>
  <c r="D80" i="2"/>
  <c r="P80" i="2"/>
  <c r="D81" i="2"/>
  <c r="P81" i="2"/>
  <c r="D82" i="2"/>
  <c r="P82" i="2"/>
  <c r="D83" i="2"/>
  <c r="P83" i="2"/>
  <c r="D84" i="2"/>
  <c r="P84" i="2"/>
  <c r="D85" i="2"/>
  <c r="P85" i="2"/>
  <c r="D86" i="2"/>
  <c r="P86" i="2"/>
  <c r="D87" i="2"/>
  <c r="P87" i="2"/>
  <c r="D88" i="2"/>
  <c r="P88" i="2"/>
  <c r="D89" i="2"/>
  <c r="P89" i="2"/>
  <c r="D90" i="2"/>
  <c r="P90" i="2"/>
  <c r="D91" i="2"/>
  <c r="P91" i="2"/>
  <c r="D92" i="2"/>
  <c r="P92" i="2"/>
  <c r="D93" i="2"/>
  <c r="P93" i="2"/>
  <c r="D94" i="2"/>
  <c r="P94" i="2"/>
  <c r="D95" i="2"/>
  <c r="P95" i="2"/>
  <c r="D96" i="2"/>
  <c r="P96" i="2"/>
  <c r="D97" i="2"/>
  <c r="P97" i="2"/>
  <c r="D98" i="2"/>
  <c r="P98" i="2"/>
  <c r="D99" i="2"/>
  <c r="P99" i="2"/>
  <c r="D100" i="2"/>
  <c r="P100" i="2"/>
  <c r="D101" i="2"/>
  <c r="P101" i="2"/>
  <c r="D102" i="2"/>
  <c r="P102" i="2"/>
  <c r="D103" i="2"/>
  <c r="P103" i="2"/>
  <c r="D104" i="2"/>
  <c r="P104" i="2"/>
  <c r="D105" i="2"/>
  <c r="P105" i="2"/>
  <c r="D106" i="2"/>
  <c r="P106" i="2"/>
  <c r="D107" i="2"/>
  <c r="P107" i="2"/>
  <c r="D108" i="2"/>
  <c r="P108" i="2"/>
  <c r="D109" i="2"/>
  <c r="P109" i="2"/>
  <c r="D110" i="2"/>
  <c r="P110" i="2"/>
  <c r="D111" i="2"/>
  <c r="P111" i="2"/>
  <c r="D112" i="2"/>
  <c r="P112" i="2"/>
  <c r="D113" i="2"/>
  <c r="P113" i="2"/>
  <c r="D114" i="2"/>
  <c r="P114" i="2"/>
  <c r="D115" i="2"/>
  <c r="P115" i="2"/>
  <c r="D116" i="2"/>
  <c r="P116" i="2"/>
  <c r="D117" i="2"/>
  <c r="P117" i="2"/>
  <c r="D118" i="2"/>
  <c r="P118" i="2"/>
  <c r="D119" i="2"/>
  <c r="P119" i="2"/>
  <c r="D120" i="2"/>
  <c r="P120" i="2"/>
  <c r="D121" i="2"/>
  <c r="P121" i="2"/>
  <c r="D122" i="2"/>
  <c r="P122" i="2"/>
  <c r="D123" i="2"/>
  <c r="P123" i="2"/>
  <c r="D124" i="2"/>
  <c r="P124" i="2"/>
  <c r="D125" i="2"/>
  <c r="P125" i="2"/>
  <c r="D126" i="2"/>
  <c r="P126" i="2"/>
  <c r="D127" i="2"/>
  <c r="P127" i="2"/>
  <c r="D128" i="2"/>
  <c r="P128" i="2"/>
  <c r="D129" i="2"/>
  <c r="P129" i="2"/>
  <c r="D130" i="2"/>
  <c r="P130" i="2"/>
  <c r="D131" i="2"/>
  <c r="P131" i="2"/>
  <c r="D132" i="2"/>
  <c r="P132" i="2"/>
  <c r="D133" i="2"/>
  <c r="P133" i="2"/>
  <c r="D134" i="2"/>
  <c r="P134" i="2"/>
  <c r="D135" i="2"/>
  <c r="P135" i="2"/>
  <c r="D136" i="2"/>
  <c r="P136" i="2"/>
  <c r="D137" i="2"/>
  <c r="P137" i="2"/>
  <c r="D138" i="2"/>
  <c r="P138" i="2"/>
  <c r="D139" i="2"/>
  <c r="P139" i="2"/>
  <c r="D140" i="2"/>
  <c r="P140" i="2"/>
  <c r="D141" i="2"/>
  <c r="P141" i="2"/>
  <c r="D142" i="2"/>
  <c r="P142" i="2"/>
  <c r="D143" i="2"/>
  <c r="P143" i="2"/>
  <c r="D144" i="2"/>
  <c r="P144" i="2"/>
  <c r="D145" i="2"/>
  <c r="P145" i="2"/>
  <c r="D146" i="2"/>
  <c r="P146" i="2"/>
  <c r="D147" i="2"/>
  <c r="P147" i="2"/>
  <c r="D148" i="2"/>
  <c r="P148" i="2"/>
  <c r="D149" i="2"/>
  <c r="P149" i="2"/>
  <c r="D150" i="2"/>
  <c r="P150" i="2"/>
  <c r="D151" i="2"/>
  <c r="P151" i="2"/>
  <c r="D152" i="2"/>
  <c r="P152" i="2"/>
  <c r="D153" i="2"/>
  <c r="P153" i="2"/>
  <c r="D154" i="2"/>
  <c r="P154" i="2"/>
  <c r="D155" i="2"/>
  <c r="P155" i="2"/>
  <c r="D156" i="2"/>
  <c r="P156" i="2"/>
  <c r="D157" i="2"/>
  <c r="P157" i="2"/>
  <c r="D158" i="2"/>
  <c r="P158" i="2"/>
  <c r="D159" i="2"/>
  <c r="P159" i="2"/>
  <c r="D160" i="2"/>
  <c r="P160" i="2"/>
  <c r="D161" i="2"/>
  <c r="P161" i="2"/>
  <c r="D162" i="2"/>
  <c r="P162" i="2"/>
  <c r="D163" i="2"/>
  <c r="P163" i="2"/>
  <c r="D164" i="2"/>
  <c r="P164" i="2"/>
  <c r="D165" i="2"/>
  <c r="P165" i="2"/>
  <c r="D166" i="2"/>
  <c r="P166" i="2"/>
  <c r="D167" i="2"/>
  <c r="P167" i="2"/>
  <c r="D168" i="2"/>
  <c r="P168" i="2"/>
  <c r="D169" i="2"/>
  <c r="P169" i="2"/>
  <c r="D170" i="2"/>
  <c r="P170" i="2"/>
  <c r="D171" i="2"/>
  <c r="P171" i="2"/>
  <c r="D172" i="2"/>
  <c r="P172" i="2"/>
  <c r="D173" i="2"/>
  <c r="P173" i="2"/>
  <c r="D174" i="2"/>
  <c r="P174" i="2"/>
  <c r="D175" i="2"/>
  <c r="P175" i="2"/>
  <c r="D176" i="2"/>
  <c r="P176" i="2"/>
  <c r="D177" i="2"/>
  <c r="P177" i="2"/>
  <c r="D178" i="2"/>
  <c r="P178" i="2"/>
  <c r="D179" i="2"/>
  <c r="P179" i="2"/>
  <c r="D180" i="2"/>
  <c r="P180" i="2"/>
  <c r="D181" i="2"/>
  <c r="P181" i="2"/>
  <c r="D182" i="2"/>
  <c r="P182" i="2"/>
  <c r="D183" i="2"/>
  <c r="P183" i="2"/>
  <c r="D184" i="2"/>
  <c r="P184" i="2"/>
  <c r="D185" i="2"/>
  <c r="P185" i="2"/>
  <c r="D186" i="2"/>
  <c r="P186" i="2"/>
  <c r="D187" i="2"/>
  <c r="P187" i="2"/>
  <c r="D188" i="2"/>
  <c r="P188" i="2"/>
  <c r="D189" i="2"/>
  <c r="P189" i="2"/>
  <c r="D190" i="2"/>
  <c r="P190" i="2"/>
  <c r="D191" i="2"/>
  <c r="P191" i="2"/>
  <c r="D192" i="2"/>
  <c r="P192" i="2"/>
  <c r="D193" i="2"/>
  <c r="P193" i="2"/>
  <c r="D194" i="2"/>
  <c r="P194" i="2"/>
  <c r="D195" i="2"/>
  <c r="P195" i="2"/>
  <c r="D196" i="2"/>
  <c r="P196" i="2"/>
  <c r="D197" i="2"/>
  <c r="P197" i="2"/>
  <c r="D198" i="2"/>
  <c r="P198" i="2"/>
  <c r="D199" i="2"/>
  <c r="P199" i="2"/>
  <c r="D200" i="2"/>
  <c r="P200" i="2"/>
  <c r="D201" i="2"/>
  <c r="P201" i="2"/>
  <c r="D202" i="2"/>
  <c r="P202" i="2"/>
  <c r="D203" i="2"/>
  <c r="P203" i="2"/>
  <c r="D204" i="2"/>
  <c r="P204" i="2"/>
  <c r="D205" i="2"/>
  <c r="P205" i="2"/>
  <c r="D206" i="2"/>
  <c r="P206" i="2"/>
  <c r="D207" i="2"/>
  <c r="P207" i="2"/>
  <c r="D208" i="2"/>
  <c r="P208" i="2"/>
  <c r="D209" i="2"/>
  <c r="P209" i="2"/>
  <c r="D210" i="2"/>
  <c r="P210" i="2"/>
  <c r="D211" i="2"/>
  <c r="P211" i="2"/>
  <c r="D212" i="2"/>
  <c r="P212" i="2"/>
  <c r="D213" i="2"/>
  <c r="P213" i="2"/>
  <c r="D214" i="2"/>
  <c r="P214" i="2"/>
  <c r="D215" i="2"/>
  <c r="P215" i="2"/>
  <c r="D216" i="2"/>
  <c r="P216" i="2"/>
  <c r="D217" i="2"/>
  <c r="P217" i="2"/>
  <c r="D218" i="2"/>
  <c r="P218" i="2"/>
  <c r="D219" i="2"/>
  <c r="P219" i="2"/>
  <c r="D220" i="2"/>
  <c r="P220" i="2"/>
  <c r="D221" i="2"/>
  <c r="P221" i="2"/>
  <c r="D222" i="2"/>
  <c r="P222" i="2"/>
  <c r="D223" i="2"/>
  <c r="P223" i="2"/>
  <c r="D224" i="2"/>
  <c r="P224" i="2"/>
  <c r="D225" i="2"/>
  <c r="P225" i="2"/>
  <c r="D226" i="2"/>
  <c r="P226" i="2"/>
  <c r="D227" i="2"/>
  <c r="P227" i="2"/>
  <c r="D228" i="2"/>
  <c r="P228" i="2"/>
  <c r="D229" i="2"/>
  <c r="P229" i="2"/>
  <c r="D230" i="2"/>
  <c r="P230" i="2"/>
  <c r="D231" i="2"/>
  <c r="P231" i="2"/>
  <c r="D232" i="2"/>
  <c r="P232" i="2"/>
  <c r="D233" i="2"/>
  <c r="P233" i="2"/>
  <c r="D234" i="2"/>
  <c r="P234" i="2"/>
  <c r="D235" i="2"/>
  <c r="P235" i="2"/>
  <c r="D236" i="2"/>
  <c r="P236" i="2"/>
  <c r="D237" i="2"/>
  <c r="P237" i="2"/>
  <c r="D238" i="2"/>
  <c r="P238" i="2"/>
  <c r="D239" i="2"/>
  <c r="P239" i="2"/>
  <c r="D240" i="2"/>
  <c r="P240" i="2"/>
  <c r="D241" i="2"/>
  <c r="P241" i="2"/>
  <c r="D242" i="2"/>
  <c r="P242" i="2"/>
  <c r="D243" i="2"/>
  <c r="P243" i="2"/>
  <c r="D244" i="2"/>
  <c r="P244" i="2"/>
  <c r="D245" i="2"/>
  <c r="P245" i="2"/>
  <c r="D246" i="2"/>
  <c r="P246" i="2"/>
  <c r="D247" i="2"/>
  <c r="P247" i="2"/>
  <c r="D248" i="2"/>
  <c r="P248" i="2"/>
  <c r="D249" i="2"/>
  <c r="P249" i="2"/>
  <c r="D250" i="2"/>
  <c r="P250" i="2"/>
  <c r="D251" i="2"/>
  <c r="P251" i="2"/>
  <c r="D252" i="2"/>
  <c r="P252" i="2"/>
  <c r="D253" i="2"/>
  <c r="P253" i="2"/>
  <c r="D254" i="2"/>
  <c r="P254" i="2"/>
  <c r="D255" i="2"/>
  <c r="P255" i="2"/>
  <c r="D256" i="2"/>
  <c r="P256" i="2"/>
  <c r="D257" i="2"/>
  <c r="P257" i="2"/>
  <c r="D258" i="2"/>
  <c r="P258" i="2"/>
  <c r="D259" i="2"/>
  <c r="P259" i="2"/>
  <c r="D260" i="2"/>
  <c r="P260" i="2"/>
  <c r="D261" i="2"/>
  <c r="P261" i="2"/>
  <c r="D262" i="2"/>
  <c r="P262" i="2"/>
  <c r="D263" i="2"/>
  <c r="P263" i="2"/>
  <c r="D264" i="2"/>
  <c r="P264" i="2"/>
  <c r="D265" i="2"/>
  <c r="P265" i="2"/>
  <c r="D266" i="2"/>
  <c r="P266" i="2"/>
  <c r="D267" i="2"/>
  <c r="P267" i="2"/>
  <c r="D268" i="2"/>
  <c r="P268" i="2"/>
  <c r="D269" i="2"/>
  <c r="P269" i="2"/>
  <c r="D270" i="2"/>
  <c r="P270" i="2"/>
  <c r="D271" i="2"/>
  <c r="P271" i="2"/>
  <c r="D272" i="2"/>
  <c r="P272" i="2"/>
  <c r="D273" i="2"/>
  <c r="P273" i="2"/>
  <c r="D274" i="2"/>
  <c r="P274" i="2"/>
  <c r="D275" i="2"/>
  <c r="P275" i="2"/>
  <c r="D276" i="2"/>
  <c r="P276" i="2"/>
  <c r="D277" i="2"/>
  <c r="P277" i="2"/>
  <c r="D278" i="2"/>
  <c r="P278" i="2"/>
  <c r="D279" i="2"/>
  <c r="P279" i="2"/>
  <c r="D280" i="2"/>
  <c r="P280" i="2"/>
  <c r="D281" i="2"/>
  <c r="P281" i="2"/>
  <c r="D282" i="2"/>
  <c r="P282" i="2"/>
  <c r="D283" i="2"/>
  <c r="P283" i="2"/>
  <c r="D284" i="2"/>
  <c r="P284" i="2"/>
  <c r="D285" i="2"/>
  <c r="P285" i="2"/>
  <c r="D286" i="2"/>
  <c r="P286" i="2"/>
  <c r="D287" i="2"/>
  <c r="P287" i="2"/>
  <c r="D288" i="2"/>
  <c r="P288" i="2"/>
  <c r="D289" i="2"/>
  <c r="P289" i="2"/>
  <c r="D290" i="2"/>
  <c r="P290" i="2"/>
  <c r="D291" i="2"/>
  <c r="P291" i="2"/>
  <c r="D292" i="2"/>
  <c r="P292" i="2"/>
  <c r="D293" i="2"/>
  <c r="P293" i="2"/>
  <c r="D294" i="2"/>
  <c r="P294" i="2"/>
  <c r="D295" i="2"/>
  <c r="P295" i="2"/>
  <c r="D296" i="2"/>
  <c r="P296" i="2"/>
  <c r="D297" i="2"/>
  <c r="P297" i="2"/>
  <c r="D298" i="2"/>
  <c r="P298" i="2"/>
  <c r="D299" i="2"/>
  <c r="P299" i="2"/>
  <c r="D300" i="2"/>
  <c r="P300" i="2"/>
  <c r="D301" i="2"/>
  <c r="P301" i="2"/>
  <c r="D302" i="2"/>
  <c r="P302" i="2"/>
  <c r="D303" i="2"/>
  <c r="P303" i="2"/>
  <c r="D304" i="2"/>
  <c r="P304" i="2"/>
  <c r="D305" i="2"/>
  <c r="P305" i="2"/>
  <c r="D306" i="2"/>
  <c r="P306" i="2"/>
  <c r="D307" i="2"/>
  <c r="P307" i="2"/>
  <c r="D308" i="2"/>
  <c r="P308" i="2"/>
  <c r="D309" i="2"/>
  <c r="P309" i="2"/>
  <c r="D310" i="2"/>
  <c r="P310" i="2"/>
  <c r="D311" i="2"/>
  <c r="P311" i="2"/>
  <c r="D312" i="2"/>
  <c r="P312" i="2"/>
  <c r="D313" i="2"/>
  <c r="P313" i="2"/>
  <c r="D314" i="2"/>
  <c r="P314" i="2"/>
  <c r="D315" i="2"/>
  <c r="P315" i="2"/>
  <c r="D316" i="2"/>
  <c r="P316" i="2"/>
  <c r="D317" i="2"/>
  <c r="P317" i="2"/>
  <c r="D318" i="2"/>
  <c r="P318" i="2"/>
  <c r="D319" i="2"/>
  <c r="P319" i="2"/>
  <c r="D320" i="2"/>
  <c r="P320" i="2"/>
  <c r="D321" i="2"/>
  <c r="P321" i="2"/>
  <c r="D322" i="2"/>
  <c r="P322" i="2"/>
  <c r="D323" i="2"/>
  <c r="P323" i="2"/>
  <c r="D324" i="2"/>
  <c r="P324" i="2"/>
  <c r="D325" i="2"/>
  <c r="P325" i="2"/>
  <c r="D326" i="2"/>
  <c r="P326" i="2"/>
  <c r="D327" i="2"/>
  <c r="P327" i="2"/>
  <c r="D328" i="2"/>
  <c r="P328" i="2"/>
  <c r="D329" i="2"/>
  <c r="P329" i="2"/>
  <c r="D330" i="2"/>
  <c r="P330" i="2"/>
  <c r="D331" i="2"/>
  <c r="P331" i="2"/>
  <c r="D332" i="2"/>
  <c r="P332" i="2"/>
  <c r="D333" i="2"/>
  <c r="P333" i="2"/>
  <c r="D334" i="2"/>
  <c r="P334" i="2"/>
  <c r="D335" i="2"/>
  <c r="P335" i="2"/>
  <c r="D336" i="2"/>
  <c r="P336" i="2"/>
  <c r="D337" i="2"/>
  <c r="P337" i="2"/>
  <c r="D338" i="2"/>
  <c r="P338" i="2"/>
  <c r="D339" i="2"/>
  <c r="P339" i="2"/>
  <c r="D340" i="2"/>
  <c r="P340" i="2"/>
  <c r="D341" i="2"/>
  <c r="P341" i="2"/>
  <c r="D342" i="2"/>
  <c r="P342" i="2"/>
  <c r="D343" i="2"/>
  <c r="P343" i="2"/>
  <c r="D344" i="2"/>
  <c r="P344" i="2"/>
  <c r="D345" i="2"/>
  <c r="P345" i="2"/>
  <c r="D346" i="2"/>
  <c r="P346" i="2"/>
  <c r="D347" i="2"/>
  <c r="P347" i="2"/>
  <c r="D348" i="2"/>
  <c r="P348" i="2"/>
  <c r="D349" i="2"/>
  <c r="P349" i="2"/>
  <c r="D350" i="2"/>
  <c r="P350" i="2"/>
  <c r="D351" i="2"/>
  <c r="P351" i="2"/>
  <c r="D352" i="2"/>
  <c r="P352" i="2"/>
  <c r="D353" i="2"/>
  <c r="P353" i="2"/>
  <c r="D354" i="2"/>
  <c r="P354" i="2"/>
  <c r="D355" i="2"/>
  <c r="P355" i="2"/>
  <c r="D356" i="2"/>
  <c r="P356" i="2"/>
  <c r="D357" i="2"/>
  <c r="P357" i="2"/>
  <c r="D358" i="2"/>
  <c r="P358" i="2"/>
  <c r="D359" i="2"/>
  <c r="P359" i="2"/>
  <c r="D360" i="2"/>
  <c r="P360" i="2"/>
  <c r="D361" i="2"/>
  <c r="P361" i="2"/>
  <c r="D362" i="2"/>
  <c r="P362" i="2"/>
  <c r="D363" i="2"/>
  <c r="P363" i="2"/>
  <c r="D364" i="2"/>
  <c r="P364" i="2"/>
  <c r="D365" i="2"/>
  <c r="P365" i="2"/>
  <c r="D366" i="2"/>
  <c r="P366" i="2"/>
  <c r="D367" i="2"/>
  <c r="P367" i="2"/>
  <c r="D368" i="2"/>
  <c r="P368" i="2"/>
  <c r="D369" i="2"/>
  <c r="P369" i="2"/>
  <c r="D370" i="2"/>
  <c r="P370" i="2"/>
  <c r="D371" i="2"/>
  <c r="P371" i="2"/>
  <c r="D372" i="2"/>
  <c r="P372" i="2"/>
  <c r="D373" i="2"/>
  <c r="P373" i="2"/>
  <c r="D374" i="2"/>
  <c r="P374" i="2"/>
  <c r="D375" i="2"/>
  <c r="P375" i="2"/>
  <c r="D376" i="2"/>
  <c r="P376" i="2"/>
  <c r="D377" i="2"/>
  <c r="P377" i="2"/>
  <c r="D378" i="2"/>
  <c r="P378" i="2"/>
  <c r="D379" i="2"/>
  <c r="P379" i="2"/>
  <c r="D380" i="2"/>
  <c r="P380" i="2"/>
  <c r="D381" i="2"/>
  <c r="P381" i="2"/>
  <c r="D382" i="2"/>
  <c r="P382" i="2"/>
  <c r="D383" i="2"/>
  <c r="P383" i="2"/>
  <c r="D384" i="2"/>
  <c r="P384" i="2"/>
  <c r="D385" i="2"/>
  <c r="P385" i="2"/>
  <c r="D386" i="2"/>
  <c r="P386" i="2"/>
  <c r="D387" i="2"/>
  <c r="P387" i="2"/>
  <c r="D388" i="2"/>
  <c r="P388" i="2"/>
  <c r="D389" i="2"/>
  <c r="P389" i="2"/>
  <c r="D390" i="2"/>
  <c r="P390" i="2"/>
  <c r="D391" i="2"/>
  <c r="P391" i="2"/>
  <c r="D392" i="2"/>
  <c r="P392" i="2"/>
  <c r="D393" i="2"/>
  <c r="P393" i="2"/>
  <c r="D394" i="2"/>
  <c r="P394" i="2"/>
  <c r="D395" i="2"/>
  <c r="P395" i="2"/>
  <c r="D396" i="2"/>
  <c r="P396" i="2"/>
  <c r="D397" i="2"/>
  <c r="P397" i="2"/>
  <c r="D398" i="2"/>
  <c r="P398" i="2"/>
  <c r="D399" i="2"/>
  <c r="P399" i="2"/>
  <c r="D400" i="2"/>
  <c r="P400" i="2"/>
  <c r="D401" i="2"/>
  <c r="P401" i="2"/>
  <c r="D402" i="2"/>
  <c r="P402" i="2"/>
  <c r="D403" i="2"/>
  <c r="P403" i="2"/>
  <c r="D404" i="2"/>
  <c r="P404" i="2"/>
  <c r="D405" i="2"/>
  <c r="P405" i="2"/>
  <c r="D406" i="2"/>
  <c r="P406" i="2"/>
  <c r="D407" i="2"/>
  <c r="P407" i="2"/>
  <c r="D408" i="2"/>
  <c r="P408" i="2"/>
  <c r="D409" i="2"/>
  <c r="P409" i="2"/>
  <c r="D410" i="2"/>
  <c r="P410" i="2"/>
  <c r="D411" i="2"/>
  <c r="P411" i="2"/>
  <c r="D412" i="2"/>
  <c r="P412" i="2"/>
  <c r="D413" i="2"/>
  <c r="P413" i="2"/>
  <c r="D414" i="2"/>
  <c r="P414" i="2"/>
  <c r="D415" i="2"/>
  <c r="P415" i="2"/>
  <c r="D416" i="2"/>
  <c r="P416" i="2"/>
  <c r="D417" i="2"/>
  <c r="P417" i="2"/>
  <c r="D418" i="2"/>
  <c r="P418" i="2"/>
  <c r="D419" i="2"/>
  <c r="P419" i="2"/>
  <c r="D420" i="2"/>
  <c r="P420" i="2"/>
  <c r="D421" i="2"/>
  <c r="P421" i="2"/>
  <c r="D422" i="2"/>
  <c r="P422" i="2"/>
  <c r="D423" i="2"/>
  <c r="P423" i="2"/>
  <c r="D424" i="2"/>
  <c r="P424" i="2"/>
  <c r="D425" i="2"/>
  <c r="P425" i="2"/>
  <c r="D426" i="2"/>
  <c r="P426" i="2"/>
  <c r="D427" i="2"/>
  <c r="P427" i="2"/>
  <c r="D428" i="2"/>
  <c r="P428" i="2"/>
  <c r="D429" i="2"/>
  <c r="P429" i="2"/>
  <c r="D430" i="2"/>
  <c r="P430" i="2"/>
  <c r="D431" i="2"/>
  <c r="P431" i="2"/>
  <c r="D432" i="2"/>
  <c r="P432" i="2"/>
  <c r="D433" i="2"/>
  <c r="P433" i="2"/>
  <c r="D434" i="2"/>
  <c r="P434" i="2"/>
  <c r="D435" i="2"/>
  <c r="P435" i="2"/>
  <c r="D436" i="2"/>
  <c r="P436" i="2"/>
  <c r="D437" i="2"/>
  <c r="P437" i="2"/>
  <c r="D438" i="2"/>
  <c r="P438" i="2"/>
  <c r="D439" i="2"/>
  <c r="P439" i="2"/>
  <c r="D440" i="2"/>
  <c r="P440" i="2"/>
  <c r="D441" i="2"/>
  <c r="P441" i="2"/>
  <c r="D442" i="2"/>
  <c r="P442" i="2"/>
  <c r="D443" i="2"/>
  <c r="P443" i="2"/>
  <c r="D444" i="2"/>
  <c r="P444" i="2"/>
  <c r="D445" i="2"/>
  <c r="P445" i="2"/>
  <c r="D446" i="2"/>
  <c r="P446" i="2"/>
  <c r="D447" i="2"/>
  <c r="P447" i="2"/>
  <c r="D448" i="2"/>
  <c r="P448" i="2"/>
  <c r="D449" i="2"/>
  <c r="P449" i="2"/>
  <c r="D450" i="2"/>
  <c r="P450" i="2"/>
  <c r="D451" i="2"/>
  <c r="P451" i="2"/>
  <c r="D452" i="2"/>
  <c r="P452" i="2"/>
  <c r="D453" i="2"/>
  <c r="P453" i="2"/>
  <c r="D454" i="2"/>
  <c r="P454" i="2"/>
  <c r="D455" i="2"/>
  <c r="P455" i="2"/>
  <c r="D456" i="2"/>
  <c r="P456" i="2"/>
  <c r="D457" i="2"/>
  <c r="P457" i="2"/>
  <c r="D458" i="2"/>
  <c r="P458" i="2"/>
  <c r="D459" i="2"/>
  <c r="P459" i="2"/>
  <c r="D460" i="2"/>
  <c r="P460" i="2"/>
  <c r="D461" i="2"/>
  <c r="P461" i="2"/>
  <c r="D462" i="2"/>
  <c r="P462" i="2"/>
  <c r="D463" i="2"/>
  <c r="P463" i="2"/>
  <c r="D464" i="2"/>
  <c r="P464" i="2"/>
  <c r="D465" i="2"/>
  <c r="P465" i="2"/>
  <c r="D466" i="2"/>
  <c r="P466" i="2"/>
  <c r="D467" i="2"/>
  <c r="P467" i="2"/>
  <c r="D468" i="2"/>
  <c r="P468" i="2"/>
  <c r="D469" i="2"/>
  <c r="P469" i="2"/>
  <c r="D470" i="2"/>
  <c r="P470" i="2"/>
  <c r="D471" i="2"/>
  <c r="P471" i="2"/>
  <c r="D472" i="2"/>
  <c r="P472" i="2"/>
  <c r="D473" i="2"/>
  <c r="P473" i="2"/>
  <c r="D474" i="2"/>
  <c r="P474" i="2"/>
  <c r="D475" i="2"/>
  <c r="P475" i="2"/>
  <c r="D476" i="2"/>
  <c r="P476" i="2"/>
  <c r="D477" i="2"/>
  <c r="P477" i="2"/>
  <c r="D478" i="2"/>
  <c r="P478" i="2"/>
  <c r="D479" i="2"/>
  <c r="P479" i="2"/>
  <c r="D480" i="2"/>
  <c r="P480" i="2"/>
  <c r="D481" i="2"/>
  <c r="P481" i="2"/>
  <c r="D482" i="2"/>
  <c r="P482" i="2"/>
  <c r="D483" i="2"/>
  <c r="P483" i="2"/>
  <c r="D484" i="2"/>
  <c r="P484" i="2"/>
  <c r="D485" i="2"/>
  <c r="P485" i="2"/>
  <c r="D486" i="2"/>
  <c r="P486" i="2"/>
  <c r="D487" i="2"/>
  <c r="P487" i="2"/>
  <c r="D488" i="2"/>
  <c r="P488" i="2"/>
  <c r="D489" i="2"/>
  <c r="P489" i="2"/>
  <c r="D490" i="2"/>
  <c r="P490" i="2"/>
  <c r="D491" i="2"/>
  <c r="P491" i="2"/>
  <c r="D492" i="2"/>
  <c r="P492" i="2"/>
  <c r="D493" i="2"/>
  <c r="P493" i="2"/>
  <c r="D494" i="2"/>
  <c r="P494" i="2"/>
  <c r="D495" i="2"/>
  <c r="P495" i="2"/>
  <c r="D496" i="2"/>
  <c r="P496" i="2"/>
  <c r="D497" i="2"/>
  <c r="P497" i="2"/>
  <c r="D498" i="2"/>
  <c r="P498" i="2"/>
  <c r="D499" i="2"/>
  <c r="P499" i="2"/>
  <c r="D500" i="2"/>
  <c r="P500" i="2"/>
  <c r="D501" i="2"/>
  <c r="P501" i="2"/>
  <c r="D502" i="2"/>
  <c r="P502" i="2"/>
  <c r="D503" i="2"/>
  <c r="P503" i="2"/>
  <c r="D504" i="2"/>
  <c r="P504" i="2"/>
  <c r="D505" i="2"/>
  <c r="P505" i="2"/>
  <c r="D506" i="2"/>
  <c r="P506" i="2"/>
  <c r="D507" i="2"/>
  <c r="P507" i="2"/>
  <c r="D508" i="2"/>
  <c r="P508" i="2"/>
  <c r="D509" i="2"/>
  <c r="P509" i="2"/>
  <c r="D510" i="2"/>
  <c r="P510" i="2"/>
  <c r="D511" i="2"/>
  <c r="P511" i="2"/>
  <c r="D512" i="2"/>
  <c r="P512" i="2"/>
  <c r="D513" i="2"/>
  <c r="P513" i="2"/>
  <c r="D514" i="2"/>
  <c r="P514" i="2"/>
  <c r="D515" i="2"/>
  <c r="P515" i="2"/>
  <c r="D516" i="2"/>
  <c r="P516" i="2"/>
  <c r="D517" i="2"/>
  <c r="P517" i="2"/>
  <c r="D518" i="2"/>
  <c r="P518" i="2"/>
  <c r="D519" i="2"/>
  <c r="P519" i="2"/>
  <c r="D520" i="2"/>
  <c r="P520" i="2"/>
  <c r="D521" i="2"/>
  <c r="P521" i="2"/>
  <c r="D522" i="2"/>
  <c r="P522" i="2"/>
  <c r="D523" i="2"/>
  <c r="P523" i="2"/>
  <c r="D524" i="2"/>
  <c r="P524" i="2"/>
  <c r="D525" i="2"/>
  <c r="P525" i="2"/>
  <c r="D526" i="2"/>
  <c r="P526" i="2"/>
  <c r="D527" i="2"/>
  <c r="P527" i="2"/>
  <c r="D528" i="2"/>
  <c r="P528" i="2"/>
  <c r="D529" i="2"/>
  <c r="P529" i="2"/>
  <c r="D530" i="2"/>
  <c r="P530" i="2"/>
  <c r="D531" i="2"/>
  <c r="P531" i="2"/>
  <c r="D532" i="2"/>
  <c r="P532" i="2"/>
  <c r="D533" i="2"/>
  <c r="P533" i="2"/>
  <c r="D534" i="2"/>
  <c r="P534" i="2"/>
  <c r="D535" i="2"/>
  <c r="P535" i="2"/>
  <c r="D536" i="2"/>
  <c r="P536" i="2"/>
  <c r="D537" i="2"/>
  <c r="P537" i="2"/>
  <c r="D538" i="2"/>
  <c r="P538" i="2"/>
  <c r="D539" i="2"/>
  <c r="P539" i="2"/>
  <c r="D540" i="2"/>
  <c r="P540" i="2"/>
  <c r="D541" i="2"/>
  <c r="P541" i="2"/>
  <c r="D542" i="2"/>
  <c r="P542" i="2"/>
  <c r="D543" i="2"/>
  <c r="P543" i="2"/>
  <c r="D544" i="2"/>
  <c r="P544" i="2"/>
  <c r="D545" i="2"/>
  <c r="P545" i="2"/>
  <c r="D546" i="2"/>
  <c r="P546" i="2"/>
  <c r="D547" i="2"/>
  <c r="P547" i="2"/>
  <c r="D548" i="2"/>
  <c r="P548" i="2"/>
  <c r="D549" i="2"/>
  <c r="P549" i="2"/>
  <c r="D550" i="2"/>
  <c r="P550" i="2"/>
  <c r="D551" i="2"/>
  <c r="P551" i="2"/>
  <c r="D552" i="2"/>
  <c r="P552" i="2"/>
  <c r="D553" i="2"/>
  <c r="P553" i="2"/>
  <c r="D554" i="2"/>
  <c r="P554" i="2"/>
  <c r="D555" i="2"/>
  <c r="P555" i="2"/>
  <c r="D556" i="2"/>
  <c r="P556" i="2"/>
  <c r="D557" i="2"/>
  <c r="P557" i="2"/>
  <c r="D558" i="2"/>
  <c r="P558" i="2"/>
  <c r="D559" i="2"/>
  <c r="P559" i="2"/>
  <c r="D560" i="2"/>
  <c r="P560" i="2"/>
  <c r="D561" i="2"/>
  <c r="P561" i="2"/>
  <c r="D562" i="2"/>
  <c r="P562" i="2"/>
  <c r="D563" i="2"/>
  <c r="P563" i="2"/>
  <c r="D564" i="2"/>
  <c r="P564" i="2"/>
  <c r="D565" i="2"/>
  <c r="P565" i="2"/>
  <c r="D566" i="2"/>
  <c r="P566" i="2"/>
  <c r="D567" i="2"/>
  <c r="P567" i="2"/>
  <c r="D568" i="2"/>
  <c r="P568" i="2"/>
  <c r="D569" i="2"/>
  <c r="P569" i="2"/>
  <c r="D570" i="2"/>
  <c r="P570" i="2"/>
  <c r="D571" i="2"/>
  <c r="P571" i="2"/>
  <c r="D572" i="2"/>
  <c r="P572" i="2"/>
  <c r="D573" i="2"/>
  <c r="P573" i="2"/>
  <c r="D574" i="2"/>
  <c r="P574" i="2"/>
  <c r="D575" i="2"/>
  <c r="P575" i="2"/>
  <c r="D576" i="2"/>
  <c r="P576" i="2"/>
  <c r="D577" i="2"/>
  <c r="P577" i="2"/>
  <c r="D578" i="2"/>
  <c r="P578" i="2"/>
  <c r="D579" i="2"/>
  <c r="P579" i="2"/>
  <c r="D580" i="2"/>
  <c r="P580" i="2"/>
  <c r="D581" i="2"/>
  <c r="P581" i="2"/>
  <c r="D582" i="2"/>
  <c r="P582" i="2"/>
  <c r="D583" i="2"/>
  <c r="P583" i="2"/>
  <c r="D584" i="2"/>
  <c r="P584" i="2"/>
  <c r="D585" i="2"/>
  <c r="P585" i="2"/>
  <c r="D586" i="2"/>
  <c r="P586" i="2"/>
  <c r="D587" i="2"/>
  <c r="P587" i="2"/>
  <c r="D588" i="2"/>
  <c r="P588" i="2"/>
  <c r="D589" i="2"/>
  <c r="P589" i="2"/>
  <c r="D590" i="2"/>
  <c r="P590" i="2"/>
  <c r="D591" i="2"/>
  <c r="P591" i="2"/>
  <c r="D592" i="2"/>
  <c r="P592" i="2"/>
  <c r="D593" i="2"/>
  <c r="P593" i="2"/>
  <c r="D594" i="2"/>
  <c r="P594" i="2"/>
  <c r="D595" i="2"/>
  <c r="P595" i="2"/>
  <c r="D596" i="2"/>
  <c r="P596" i="2"/>
  <c r="D597" i="2"/>
  <c r="P597" i="2"/>
  <c r="D598" i="2"/>
  <c r="P598" i="2"/>
  <c r="D599" i="2"/>
  <c r="P599" i="2"/>
  <c r="D600" i="2"/>
  <c r="P600" i="2"/>
  <c r="D601" i="2"/>
  <c r="P601" i="2"/>
  <c r="D602" i="2"/>
  <c r="P602" i="2"/>
  <c r="D603" i="2"/>
  <c r="P603" i="2"/>
  <c r="D604" i="2"/>
  <c r="P604" i="2"/>
  <c r="D605" i="2"/>
  <c r="P605" i="2"/>
  <c r="D606" i="2"/>
  <c r="P606" i="2"/>
  <c r="D607" i="2"/>
  <c r="P607" i="2"/>
  <c r="D608" i="2"/>
  <c r="P608" i="2"/>
  <c r="D609" i="2"/>
  <c r="P609" i="2"/>
  <c r="D610" i="2"/>
  <c r="P610" i="2"/>
  <c r="D611" i="2"/>
  <c r="P611" i="2"/>
  <c r="D612" i="2"/>
  <c r="P612" i="2"/>
  <c r="D613" i="2"/>
  <c r="P613" i="2"/>
  <c r="D614" i="2"/>
  <c r="P614" i="2"/>
  <c r="D615" i="2"/>
  <c r="P615" i="2"/>
  <c r="D616" i="2"/>
  <c r="P616" i="2"/>
  <c r="D617" i="2"/>
  <c r="P617" i="2"/>
  <c r="D618" i="2"/>
  <c r="P618" i="2"/>
  <c r="D619" i="2"/>
  <c r="P619" i="2"/>
  <c r="D620" i="2"/>
  <c r="P620" i="2"/>
  <c r="D621" i="2"/>
  <c r="P621" i="2"/>
  <c r="D622" i="2"/>
  <c r="P622" i="2"/>
  <c r="D623" i="2"/>
  <c r="P623" i="2"/>
  <c r="D624" i="2"/>
  <c r="P624" i="2"/>
  <c r="D625" i="2"/>
  <c r="P625" i="2"/>
  <c r="D626" i="2"/>
  <c r="P626" i="2"/>
  <c r="D627" i="2"/>
  <c r="P627" i="2"/>
  <c r="D628" i="2"/>
  <c r="P628" i="2"/>
  <c r="D629" i="2"/>
  <c r="P629" i="2"/>
  <c r="D630" i="2"/>
  <c r="P630" i="2"/>
  <c r="D631" i="2"/>
  <c r="P631" i="2"/>
  <c r="D632" i="2"/>
  <c r="P632" i="2"/>
  <c r="D633" i="2"/>
  <c r="P633" i="2"/>
  <c r="D634" i="2"/>
  <c r="P634" i="2"/>
  <c r="D635" i="2"/>
  <c r="P635" i="2"/>
  <c r="D636" i="2"/>
  <c r="P636" i="2"/>
  <c r="D637" i="2"/>
  <c r="P637" i="2"/>
  <c r="D638" i="2"/>
  <c r="P638" i="2"/>
  <c r="D639" i="2"/>
  <c r="P639" i="2"/>
  <c r="D640" i="2"/>
  <c r="P640" i="2"/>
  <c r="D641" i="2"/>
  <c r="P641" i="2"/>
  <c r="D642" i="2"/>
  <c r="P642" i="2"/>
  <c r="D643" i="2"/>
  <c r="P643" i="2"/>
  <c r="D644" i="2"/>
  <c r="P644" i="2"/>
  <c r="D645" i="2"/>
  <c r="P645" i="2"/>
  <c r="D646" i="2"/>
  <c r="P646" i="2"/>
  <c r="D647" i="2"/>
  <c r="P647" i="2"/>
  <c r="D648" i="2"/>
  <c r="P648" i="2"/>
  <c r="D649" i="2"/>
  <c r="P649" i="2"/>
  <c r="D650" i="2"/>
  <c r="P650" i="2"/>
  <c r="D651" i="2"/>
  <c r="P651" i="2"/>
  <c r="D652" i="2"/>
  <c r="P652" i="2"/>
  <c r="D653" i="2"/>
  <c r="P653" i="2"/>
  <c r="D654" i="2"/>
  <c r="P654" i="2"/>
  <c r="D655" i="2"/>
  <c r="P655" i="2"/>
  <c r="D656" i="2"/>
  <c r="P656" i="2"/>
  <c r="D657" i="2"/>
  <c r="P657" i="2"/>
  <c r="D658" i="2"/>
  <c r="P658" i="2"/>
  <c r="D659" i="2"/>
  <c r="P659" i="2"/>
  <c r="D660" i="2"/>
  <c r="P660" i="2"/>
  <c r="D661" i="2"/>
  <c r="P661" i="2"/>
  <c r="D662" i="2"/>
  <c r="P662" i="2"/>
  <c r="D663" i="2"/>
  <c r="P663" i="2"/>
  <c r="D664" i="2"/>
  <c r="P664" i="2"/>
  <c r="D665" i="2"/>
  <c r="P665" i="2"/>
  <c r="D666" i="2"/>
  <c r="P666" i="2"/>
  <c r="D667" i="2"/>
  <c r="P667" i="2"/>
  <c r="D668" i="2"/>
  <c r="P668" i="2"/>
  <c r="D669" i="2"/>
  <c r="P669" i="2"/>
  <c r="D670" i="2"/>
  <c r="P670" i="2"/>
  <c r="D671" i="2"/>
  <c r="P671" i="2"/>
  <c r="D672" i="2"/>
  <c r="P672" i="2"/>
  <c r="D673" i="2"/>
  <c r="P673" i="2"/>
  <c r="D674" i="2"/>
  <c r="P674" i="2"/>
  <c r="D675" i="2"/>
  <c r="P675" i="2"/>
  <c r="D676" i="2"/>
  <c r="P676" i="2"/>
  <c r="D677" i="2"/>
  <c r="P677" i="2"/>
  <c r="D678" i="2"/>
  <c r="P678" i="2"/>
  <c r="D679" i="2"/>
  <c r="P679" i="2"/>
  <c r="D680" i="2"/>
  <c r="P680" i="2"/>
  <c r="D681" i="2"/>
  <c r="P681" i="2"/>
  <c r="D682" i="2"/>
  <c r="P682" i="2"/>
  <c r="D683" i="2"/>
  <c r="P683" i="2"/>
  <c r="D684" i="2"/>
  <c r="P684" i="2"/>
  <c r="D685" i="2"/>
  <c r="P685" i="2"/>
  <c r="D686" i="2"/>
  <c r="P686" i="2"/>
  <c r="D687" i="2"/>
  <c r="P687" i="2"/>
  <c r="D688" i="2"/>
  <c r="P688" i="2"/>
  <c r="D689" i="2"/>
  <c r="P689" i="2"/>
  <c r="D690" i="2"/>
  <c r="P690" i="2"/>
  <c r="D691" i="2"/>
  <c r="P691" i="2"/>
  <c r="D692" i="2"/>
  <c r="P692" i="2"/>
  <c r="D693" i="2"/>
  <c r="P693" i="2"/>
  <c r="D694" i="2"/>
  <c r="P694" i="2"/>
  <c r="D695" i="2"/>
  <c r="P695" i="2"/>
  <c r="D696" i="2"/>
  <c r="P696" i="2"/>
  <c r="D697" i="2"/>
  <c r="P697" i="2"/>
  <c r="D698" i="2"/>
  <c r="P698" i="2"/>
  <c r="D699" i="2"/>
  <c r="P699" i="2"/>
  <c r="D700" i="2"/>
  <c r="P700" i="2"/>
  <c r="D701" i="2"/>
  <c r="P701" i="2"/>
  <c r="D702" i="2"/>
  <c r="P702" i="2"/>
  <c r="D703" i="2"/>
  <c r="P703" i="2"/>
  <c r="D704" i="2"/>
  <c r="P704" i="2"/>
  <c r="D705" i="2"/>
  <c r="P705" i="2"/>
  <c r="D706" i="2"/>
  <c r="P706" i="2"/>
  <c r="D707" i="2"/>
  <c r="P707" i="2"/>
  <c r="D708" i="2"/>
  <c r="P708" i="2"/>
  <c r="D709" i="2"/>
  <c r="P709" i="2"/>
  <c r="D710" i="2"/>
  <c r="P710" i="2"/>
  <c r="D711" i="2"/>
  <c r="P711" i="2"/>
  <c r="D712" i="2"/>
  <c r="P712" i="2"/>
  <c r="D713" i="2"/>
  <c r="P713" i="2"/>
  <c r="D714" i="2"/>
  <c r="P714" i="2"/>
  <c r="D715" i="2"/>
  <c r="P715" i="2"/>
  <c r="D716" i="2"/>
  <c r="P716" i="2"/>
  <c r="D717" i="2"/>
  <c r="P717" i="2"/>
  <c r="D718" i="2"/>
  <c r="P718" i="2"/>
  <c r="D719" i="2"/>
  <c r="P719" i="2"/>
  <c r="D720" i="2"/>
  <c r="P720" i="2"/>
  <c r="D721" i="2"/>
  <c r="P721" i="2"/>
  <c r="D722" i="2"/>
  <c r="P722" i="2"/>
  <c r="D723" i="2"/>
  <c r="P723" i="2"/>
  <c r="D724" i="2"/>
  <c r="P724" i="2"/>
  <c r="D725" i="2"/>
  <c r="P725" i="2"/>
  <c r="D726" i="2"/>
  <c r="P726" i="2"/>
  <c r="D727" i="2"/>
  <c r="P727" i="2"/>
  <c r="D728" i="2"/>
  <c r="P728" i="2"/>
  <c r="D729" i="2"/>
  <c r="P729" i="2"/>
  <c r="D730" i="2"/>
  <c r="P730" i="2"/>
  <c r="D731" i="2"/>
  <c r="P731" i="2"/>
  <c r="D732" i="2"/>
  <c r="P732" i="2"/>
  <c r="D733" i="2"/>
  <c r="P733" i="2"/>
  <c r="D734" i="2"/>
  <c r="P734" i="2"/>
  <c r="D735" i="2"/>
  <c r="P735" i="2"/>
  <c r="D736" i="2"/>
  <c r="P736" i="2"/>
  <c r="D737" i="2"/>
  <c r="P737" i="2"/>
  <c r="D738" i="2"/>
  <c r="P738" i="2"/>
  <c r="D739" i="2"/>
  <c r="P739" i="2"/>
  <c r="D740" i="2"/>
  <c r="P740" i="2"/>
  <c r="D741" i="2"/>
  <c r="P741" i="2"/>
  <c r="D742" i="2"/>
  <c r="P742" i="2"/>
  <c r="D743" i="2"/>
  <c r="P743" i="2"/>
  <c r="D744" i="2"/>
  <c r="P744" i="2"/>
  <c r="D745" i="2"/>
  <c r="P745" i="2"/>
  <c r="D746" i="2"/>
  <c r="P746" i="2"/>
  <c r="D747" i="2"/>
  <c r="P747" i="2"/>
  <c r="D748" i="2"/>
  <c r="P748" i="2"/>
  <c r="D749" i="2"/>
  <c r="P749" i="2"/>
  <c r="D750" i="2"/>
  <c r="P750" i="2"/>
  <c r="D751" i="2"/>
  <c r="P751" i="2"/>
  <c r="D752" i="2"/>
  <c r="P752" i="2"/>
  <c r="D753" i="2"/>
  <c r="P753" i="2"/>
  <c r="D754" i="2"/>
  <c r="P754" i="2"/>
  <c r="D755" i="2"/>
  <c r="P755" i="2"/>
  <c r="D756" i="2"/>
  <c r="P756" i="2"/>
  <c r="D757" i="2"/>
  <c r="P757" i="2"/>
  <c r="D758" i="2"/>
  <c r="P758" i="2"/>
  <c r="D759" i="2"/>
  <c r="P759" i="2"/>
  <c r="D760" i="2"/>
  <c r="P760" i="2"/>
  <c r="D761" i="2"/>
  <c r="P761" i="2"/>
  <c r="D762" i="2"/>
  <c r="P762" i="2"/>
  <c r="D763" i="2"/>
  <c r="P763" i="2"/>
  <c r="D764" i="2"/>
  <c r="P764" i="2"/>
  <c r="D765" i="2"/>
  <c r="P765" i="2"/>
  <c r="D766" i="2"/>
  <c r="P766" i="2"/>
  <c r="D767" i="2"/>
  <c r="P767" i="2"/>
  <c r="D768" i="2"/>
  <c r="P768" i="2"/>
  <c r="D769" i="2"/>
  <c r="P769" i="2"/>
  <c r="D770" i="2"/>
  <c r="P770" i="2"/>
  <c r="D771" i="2"/>
  <c r="P771" i="2"/>
  <c r="D772" i="2"/>
  <c r="P772" i="2"/>
  <c r="D773" i="2"/>
  <c r="P773" i="2"/>
  <c r="D774" i="2"/>
  <c r="P774" i="2"/>
  <c r="D775" i="2"/>
  <c r="P775" i="2"/>
  <c r="D776" i="2"/>
  <c r="P776" i="2"/>
  <c r="D777" i="2"/>
  <c r="P777" i="2"/>
  <c r="D778" i="2"/>
  <c r="P778" i="2"/>
  <c r="D779" i="2"/>
  <c r="P779" i="2"/>
  <c r="D780" i="2"/>
  <c r="P780" i="2"/>
  <c r="D781" i="2"/>
  <c r="P781" i="2"/>
  <c r="D782" i="2"/>
  <c r="P782" i="2"/>
  <c r="D783" i="2"/>
  <c r="P783" i="2"/>
  <c r="D784" i="2"/>
  <c r="P784" i="2"/>
  <c r="D785" i="2"/>
  <c r="P785" i="2"/>
  <c r="D786" i="2"/>
  <c r="P786" i="2"/>
  <c r="D787" i="2"/>
  <c r="P787" i="2"/>
  <c r="D788" i="2"/>
  <c r="P788" i="2"/>
  <c r="D789" i="2"/>
  <c r="P789" i="2"/>
  <c r="D790" i="2"/>
  <c r="P790" i="2"/>
  <c r="D791" i="2"/>
  <c r="P791" i="2"/>
  <c r="D792" i="2"/>
  <c r="P792" i="2"/>
  <c r="D793" i="2"/>
  <c r="P793" i="2"/>
  <c r="D794" i="2"/>
  <c r="P794" i="2"/>
  <c r="D795" i="2"/>
  <c r="P795" i="2"/>
  <c r="D796" i="2"/>
  <c r="P796" i="2"/>
  <c r="D797" i="2"/>
  <c r="P797" i="2"/>
  <c r="D798" i="2"/>
  <c r="P798" i="2"/>
  <c r="D799" i="2"/>
  <c r="P799" i="2"/>
  <c r="D800" i="2"/>
  <c r="P800" i="2"/>
  <c r="D801" i="2"/>
  <c r="P801" i="2"/>
  <c r="D802" i="2"/>
  <c r="P802" i="2"/>
  <c r="D803" i="2"/>
  <c r="P803" i="2"/>
  <c r="D804" i="2"/>
  <c r="P804" i="2"/>
  <c r="D805" i="2"/>
  <c r="P805" i="2"/>
  <c r="D806" i="2"/>
  <c r="P806" i="2"/>
  <c r="D807" i="2"/>
  <c r="P807" i="2"/>
  <c r="D808" i="2"/>
  <c r="P808" i="2"/>
  <c r="D809" i="2"/>
  <c r="P809" i="2"/>
  <c r="D810" i="2"/>
  <c r="P810" i="2"/>
  <c r="D811" i="2"/>
  <c r="P811" i="2"/>
  <c r="D812" i="2"/>
  <c r="P812" i="2"/>
  <c r="D813" i="2"/>
  <c r="P813" i="2"/>
  <c r="D814" i="2"/>
  <c r="P814" i="2"/>
  <c r="D815" i="2"/>
  <c r="P815" i="2"/>
  <c r="D816" i="2"/>
  <c r="P816" i="2"/>
  <c r="D817" i="2"/>
  <c r="P817" i="2"/>
  <c r="D818" i="2"/>
  <c r="P818" i="2"/>
  <c r="D819" i="2"/>
  <c r="P819" i="2"/>
  <c r="D820" i="2"/>
  <c r="P820" i="2"/>
  <c r="D821" i="2"/>
  <c r="P821" i="2"/>
  <c r="D822" i="2"/>
  <c r="P822" i="2"/>
  <c r="D823" i="2"/>
  <c r="P823" i="2"/>
  <c r="D824" i="2"/>
  <c r="P824" i="2"/>
  <c r="D825" i="2"/>
  <c r="P825" i="2"/>
  <c r="D826" i="2"/>
  <c r="P826" i="2"/>
  <c r="D827" i="2"/>
  <c r="P827" i="2"/>
  <c r="D828" i="2"/>
  <c r="P828" i="2"/>
  <c r="D829" i="2"/>
  <c r="P829" i="2"/>
  <c r="D830" i="2"/>
  <c r="P830" i="2"/>
  <c r="D831" i="2"/>
  <c r="P831" i="2"/>
  <c r="D832" i="2"/>
  <c r="P832" i="2"/>
  <c r="D833" i="2"/>
  <c r="P833" i="2"/>
  <c r="D834" i="2"/>
  <c r="P834" i="2"/>
  <c r="D835" i="2"/>
  <c r="P835" i="2"/>
  <c r="D836" i="2"/>
  <c r="P836" i="2"/>
  <c r="D837" i="2"/>
  <c r="P837" i="2"/>
  <c r="D838" i="2"/>
  <c r="P838" i="2"/>
  <c r="D839" i="2"/>
  <c r="P839" i="2"/>
  <c r="D840" i="2"/>
  <c r="P840" i="2"/>
  <c r="D841" i="2"/>
  <c r="P841" i="2"/>
  <c r="D842" i="2"/>
  <c r="P842" i="2"/>
  <c r="D843" i="2"/>
  <c r="P843" i="2"/>
  <c r="D844" i="2"/>
  <c r="P844" i="2"/>
  <c r="D845" i="2"/>
  <c r="P845" i="2"/>
  <c r="D846" i="2"/>
  <c r="P846" i="2"/>
  <c r="D847" i="2"/>
  <c r="P847" i="2"/>
  <c r="D848" i="2"/>
  <c r="P848" i="2"/>
  <c r="D849" i="2"/>
  <c r="P849" i="2"/>
  <c r="D850" i="2"/>
  <c r="P850" i="2"/>
  <c r="D851" i="2"/>
  <c r="P851" i="2"/>
  <c r="D852" i="2"/>
  <c r="P852" i="2"/>
  <c r="D853" i="2"/>
  <c r="P853" i="2"/>
  <c r="D854" i="2"/>
  <c r="P854" i="2"/>
  <c r="D855" i="2"/>
  <c r="P855" i="2"/>
  <c r="D856" i="2"/>
  <c r="P856" i="2"/>
  <c r="D857" i="2"/>
  <c r="P857" i="2"/>
  <c r="D858" i="2"/>
  <c r="P858" i="2"/>
  <c r="D859" i="2"/>
  <c r="P859" i="2"/>
  <c r="D860" i="2"/>
  <c r="P860" i="2"/>
  <c r="D861" i="2"/>
  <c r="P861" i="2"/>
  <c r="D862" i="2"/>
  <c r="P862" i="2"/>
  <c r="D863" i="2"/>
  <c r="P863" i="2"/>
  <c r="D864" i="2"/>
  <c r="P864" i="2"/>
  <c r="D865" i="2"/>
  <c r="P865" i="2"/>
  <c r="D866" i="2"/>
  <c r="P866" i="2"/>
  <c r="D867" i="2"/>
  <c r="P867" i="2"/>
  <c r="D868" i="2"/>
  <c r="P868" i="2"/>
  <c r="D869" i="2"/>
  <c r="P869" i="2"/>
  <c r="D870" i="2"/>
  <c r="P870" i="2"/>
  <c r="D871" i="2"/>
  <c r="P871" i="2"/>
  <c r="D872" i="2"/>
  <c r="P872" i="2"/>
  <c r="D873" i="2"/>
  <c r="P873" i="2"/>
  <c r="D874" i="2"/>
  <c r="P874" i="2"/>
  <c r="D875" i="2"/>
  <c r="P875" i="2"/>
  <c r="D876" i="2"/>
  <c r="P876" i="2"/>
  <c r="D877" i="2"/>
  <c r="P877" i="2"/>
  <c r="D878" i="2"/>
  <c r="P878" i="2"/>
  <c r="D879" i="2"/>
  <c r="P879" i="2"/>
  <c r="D880" i="2"/>
  <c r="P880" i="2"/>
  <c r="D881" i="2"/>
  <c r="P881" i="2"/>
  <c r="D882" i="2"/>
  <c r="P882" i="2"/>
  <c r="D883" i="2"/>
  <c r="P883" i="2"/>
  <c r="D884" i="2"/>
  <c r="P884" i="2"/>
  <c r="D885" i="2"/>
  <c r="P885" i="2"/>
  <c r="D886" i="2"/>
  <c r="P886" i="2"/>
  <c r="D887" i="2"/>
  <c r="P887" i="2"/>
  <c r="D888" i="2"/>
  <c r="P888" i="2"/>
  <c r="D889" i="2"/>
  <c r="P889" i="2"/>
  <c r="D890" i="2"/>
  <c r="P890" i="2"/>
  <c r="D891" i="2"/>
  <c r="P891" i="2"/>
  <c r="D892" i="2"/>
  <c r="P892" i="2"/>
  <c r="D893" i="2"/>
  <c r="P893" i="2"/>
  <c r="D894" i="2"/>
  <c r="P894" i="2"/>
  <c r="D895" i="2"/>
  <c r="P895" i="2"/>
  <c r="D896" i="2"/>
  <c r="P896" i="2"/>
  <c r="D897" i="2"/>
  <c r="P897" i="2"/>
  <c r="D898" i="2"/>
  <c r="P898" i="2"/>
  <c r="D899" i="2"/>
  <c r="P899" i="2"/>
  <c r="D900" i="2"/>
  <c r="P900" i="2"/>
  <c r="D901" i="2"/>
  <c r="P901" i="2"/>
  <c r="D902" i="2"/>
  <c r="P902" i="2"/>
  <c r="D903" i="2"/>
  <c r="P903" i="2"/>
  <c r="D904" i="2"/>
  <c r="P904" i="2"/>
  <c r="D905" i="2"/>
  <c r="P905" i="2"/>
  <c r="D906" i="2"/>
  <c r="P906" i="2"/>
  <c r="D907" i="2"/>
  <c r="P907" i="2"/>
  <c r="D908" i="2"/>
  <c r="P908" i="2"/>
  <c r="D909" i="2"/>
  <c r="P909" i="2"/>
  <c r="D910" i="2"/>
  <c r="P910" i="2"/>
  <c r="D911" i="2"/>
  <c r="P911" i="2"/>
  <c r="D912" i="2"/>
  <c r="P912" i="2"/>
  <c r="D913" i="2"/>
  <c r="P913" i="2"/>
  <c r="D914" i="2"/>
  <c r="P914" i="2"/>
  <c r="D915" i="2"/>
  <c r="P915" i="2"/>
  <c r="D916" i="2"/>
  <c r="P916" i="2"/>
  <c r="D917" i="2"/>
  <c r="P917" i="2"/>
  <c r="D918" i="2"/>
  <c r="P918" i="2"/>
  <c r="D919" i="2"/>
  <c r="P919" i="2"/>
  <c r="D920" i="2"/>
  <c r="P920" i="2"/>
  <c r="D921" i="2"/>
  <c r="P921" i="2"/>
  <c r="D922" i="2"/>
  <c r="P922" i="2"/>
  <c r="D923" i="2"/>
  <c r="P923" i="2"/>
  <c r="D924" i="2"/>
  <c r="P924" i="2"/>
  <c r="D925" i="2"/>
  <c r="P925" i="2"/>
  <c r="D926" i="2"/>
  <c r="P926" i="2"/>
  <c r="D927" i="2"/>
  <c r="P927" i="2"/>
  <c r="D928" i="2"/>
  <c r="P928" i="2"/>
  <c r="D929" i="2"/>
  <c r="P929" i="2"/>
  <c r="D930" i="2"/>
  <c r="P930" i="2"/>
  <c r="D931" i="2"/>
  <c r="P931" i="2"/>
  <c r="D932" i="2"/>
  <c r="P932" i="2"/>
  <c r="D933" i="2"/>
  <c r="P933" i="2"/>
  <c r="D934" i="2"/>
  <c r="P934" i="2"/>
  <c r="D935" i="2"/>
  <c r="P935" i="2"/>
  <c r="D936" i="2"/>
  <c r="P936" i="2"/>
  <c r="D937" i="2"/>
  <c r="P937" i="2"/>
  <c r="D938" i="2"/>
  <c r="P938" i="2"/>
  <c r="D939" i="2"/>
  <c r="P939" i="2"/>
  <c r="D940" i="2"/>
  <c r="P940" i="2"/>
  <c r="D941" i="2"/>
  <c r="P941" i="2"/>
  <c r="D942" i="2"/>
  <c r="P942" i="2"/>
  <c r="D943" i="2"/>
  <c r="P943" i="2"/>
  <c r="D944" i="2"/>
  <c r="P944" i="2"/>
  <c r="D945" i="2"/>
  <c r="P945" i="2"/>
  <c r="D946" i="2"/>
  <c r="P946" i="2"/>
  <c r="D947" i="2"/>
  <c r="P947" i="2"/>
  <c r="D948" i="2"/>
  <c r="P948" i="2"/>
  <c r="D949" i="2"/>
  <c r="P949" i="2"/>
  <c r="D950" i="2"/>
  <c r="P950" i="2"/>
  <c r="D951" i="2"/>
  <c r="P951" i="2"/>
  <c r="D952" i="2"/>
  <c r="P952" i="2"/>
  <c r="D953" i="2"/>
  <c r="P953" i="2"/>
  <c r="D954" i="2"/>
  <c r="P954" i="2"/>
  <c r="D955" i="2"/>
  <c r="P955" i="2"/>
  <c r="D956" i="2"/>
  <c r="P956" i="2"/>
  <c r="D957" i="2"/>
  <c r="P957" i="2"/>
  <c r="D958" i="2"/>
  <c r="P958" i="2"/>
  <c r="D959" i="2"/>
  <c r="P959" i="2"/>
  <c r="D960" i="2"/>
  <c r="P960" i="2"/>
  <c r="D961" i="2"/>
  <c r="P961" i="2"/>
  <c r="D962" i="2"/>
  <c r="P962" i="2"/>
  <c r="D963" i="2"/>
  <c r="P963" i="2"/>
  <c r="D964" i="2"/>
  <c r="P964" i="2"/>
  <c r="D965" i="2"/>
  <c r="P965" i="2"/>
  <c r="D966" i="2"/>
  <c r="P966" i="2"/>
  <c r="D967" i="2"/>
  <c r="P967" i="2"/>
  <c r="D968" i="2"/>
  <c r="P968" i="2"/>
  <c r="D969" i="2"/>
  <c r="P969" i="2"/>
  <c r="D970" i="2"/>
  <c r="P970" i="2"/>
  <c r="D971" i="2"/>
  <c r="P971" i="2"/>
  <c r="D972" i="2"/>
  <c r="P972" i="2"/>
  <c r="D973" i="2"/>
  <c r="P973" i="2"/>
  <c r="D974" i="2"/>
  <c r="P974" i="2"/>
  <c r="D975" i="2"/>
  <c r="P975" i="2"/>
  <c r="D976" i="2"/>
  <c r="P976" i="2"/>
  <c r="D977" i="2"/>
  <c r="P977" i="2"/>
  <c r="D978" i="2"/>
  <c r="P978" i="2"/>
  <c r="D979" i="2"/>
  <c r="P979" i="2"/>
  <c r="D980" i="2"/>
  <c r="P980" i="2"/>
  <c r="D981" i="2"/>
  <c r="P981" i="2"/>
  <c r="D982" i="2"/>
  <c r="P982" i="2"/>
  <c r="D983" i="2"/>
  <c r="P983" i="2"/>
  <c r="D984" i="2"/>
  <c r="P984" i="2"/>
  <c r="D985" i="2"/>
  <c r="P985" i="2"/>
  <c r="D986" i="2"/>
  <c r="P986" i="2"/>
  <c r="D987" i="2"/>
  <c r="P987" i="2"/>
  <c r="D988" i="2"/>
  <c r="P988" i="2"/>
  <c r="D989" i="2"/>
  <c r="P989" i="2"/>
  <c r="D990" i="2"/>
  <c r="P990" i="2"/>
  <c r="D991" i="2"/>
  <c r="P991" i="2"/>
  <c r="D992" i="2"/>
  <c r="P992" i="2"/>
  <c r="D993" i="2"/>
  <c r="P993" i="2"/>
  <c r="D994" i="2"/>
  <c r="P994" i="2"/>
  <c r="D995" i="2"/>
  <c r="P995" i="2"/>
  <c r="D996" i="2"/>
  <c r="P996" i="2"/>
  <c r="D997" i="2"/>
  <c r="P997" i="2"/>
  <c r="D998" i="2"/>
  <c r="P998" i="2"/>
  <c r="D999" i="2"/>
  <c r="P999" i="2"/>
  <c r="D1000" i="2"/>
  <c r="P1000" i="2"/>
  <c r="D1001" i="2"/>
  <c r="P1001" i="2"/>
</calcChain>
</file>

<file path=xl/sharedStrings.xml><?xml version="1.0" encoding="utf-8"?>
<sst xmlns="http://schemas.openxmlformats.org/spreadsheetml/2006/main" count="8029" uniqueCount="1453">
  <si>
    <t>Accessories</t>
  </si>
  <si>
    <t>Bottle</t>
  </si>
  <si>
    <t>Customer 13</t>
  </si>
  <si>
    <t>Priya</t>
  </si>
  <si>
    <t>South</t>
  </si>
  <si>
    <t>September</t>
  </si>
  <si>
    <t>2025-09-26</t>
  </si>
  <si>
    <t>ORD0977</t>
  </si>
  <si>
    <t>Electronics</t>
  </si>
  <si>
    <t>Laptop</t>
  </si>
  <si>
    <t>Customer 45</t>
  </si>
  <si>
    <t>Neha</t>
  </si>
  <si>
    <t>2025-09-10</t>
  </si>
  <si>
    <t>ORD0903</t>
  </si>
  <si>
    <t>Headphones</t>
  </si>
  <si>
    <t>Customer 34</t>
  </si>
  <si>
    <t>North</t>
  </si>
  <si>
    <t>2025-09-04</t>
  </si>
  <si>
    <t>ORD0833</t>
  </si>
  <si>
    <t>Stationery</t>
  </si>
  <si>
    <t>Pen</t>
  </si>
  <si>
    <t>Customer 49</t>
  </si>
  <si>
    <t>Karan</t>
  </si>
  <si>
    <t>East</t>
  </si>
  <si>
    <t>2025-09-30</t>
  </si>
  <si>
    <t>ORD0819</t>
  </si>
  <si>
    <t>Customer 41</t>
  </si>
  <si>
    <t>2025-09-28</t>
  </si>
  <si>
    <t>ORD0790</t>
  </si>
  <si>
    <t>Customer 18</t>
  </si>
  <si>
    <t>ORD0778</t>
  </si>
  <si>
    <t>Customer 24</t>
  </si>
  <si>
    <t>2025-09-18</t>
  </si>
  <si>
    <t>ORD0753</t>
  </si>
  <si>
    <t>Phone</t>
  </si>
  <si>
    <t>Customer 22</t>
  </si>
  <si>
    <t>West</t>
  </si>
  <si>
    <t>2025-09-11</t>
  </si>
  <si>
    <t>ORD0535</t>
  </si>
  <si>
    <t>Customer 40</t>
  </si>
  <si>
    <t>2025-09-29</t>
  </si>
  <si>
    <t>ORD0520</t>
  </si>
  <si>
    <t>Customer 5</t>
  </si>
  <si>
    <t>2025-09-07</t>
  </si>
  <si>
    <t>ORD0480</t>
  </si>
  <si>
    <t>Mouse</t>
  </si>
  <si>
    <t>Customer 42</t>
  </si>
  <si>
    <t>2025-09-16</t>
  </si>
  <si>
    <t>ORD0306</t>
  </si>
  <si>
    <t>Furniture</t>
  </si>
  <si>
    <t>Chair</t>
  </si>
  <si>
    <t>Customer 10</t>
  </si>
  <si>
    <t>Arjun</t>
  </si>
  <si>
    <t>2025-09-27</t>
  </si>
  <si>
    <t>ORD0268</t>
  </si>
  <si>
    <t>Customer 23</t>
  </si>
  <si>
    <t>Rahul</t>
  </si>
  <si>
    <t>2025-09-13</t>
  </si>
  <si>
    <t>ORD0251</t>
  </si>
  <si>
    <t>Backpack</t>
  </si>
  <si>
    <t>Customer 32</t>
  </si>
  <si>
    <t>2025-09-08</t>
  </si>
  <si>
    <t>ORD0239</t>
  </si>
  <si>
    <t>Aisha</t>
  </si>
  <si>
    <t>2025-09-21</t>
  </si>
  <si>
    <t>ORD0177</t>
  </si>
  <si>
    <t>Customer 8</t>
  </si>
  <si>
    <t>ORD0167</t>
  </si>
  <si>
    <t>Customer 6</t>
  </si>
  <si>
    <t>2025-09-22</t>
  </si>
  <si>
    <t>ORD0150</t>
  </si>
  <si>
    <t>Customer 38</t>
  </si>
  <si>
    <t>October</t>
  </si>
  <si>
    <t>2025-10-29</t>
  </si>
  <si>
    <t>ORD0927</t>
  </si>
  <si>
    <t>Customer 31</t>
  </si>
  <si>
    <t>2025-10-07</t>
  </si>
  <si>
    <t>ORD0898</t>
  </si>
  <si>
    <t>Notebook</t>
  </si>
  <si>
    <t>Customer 17</t>
  </si>
  <si>
    <t>2025-10-12</t>
  </si>
  <si>
    <t>ORD0867</t>
  </si>
  <si>
    <t>Customer 48</t>
  </si>
  <si>
    <t>2025-10-24</t>
  </si>
  <si>
    <t>ORD0865</t>
  </si>
  <si>
    <t>Customer 26</t>
  </si>
  <si>
    <t>2025-10-20</t>
  </si>
  <si>
    <t>ORD0743</t>
  </si>
  <si>
    <t>2025-10-09</t>
  </si>
  <si>
    <t>ORD0699</t>
  </si>
  <si>
    <t>2025-10-27</t>
  </si>
  <si>
    <t>ORD0649</t>
  </si>
  <si>
    <t>Customer 12</t>
  </si>
  <si>
    <t>2025-10-03</t>
  </si>
  <si>
    <t>ORD0635</t>
  </si>
  <si>
    <t>Customer 19</t>
  </si>
  <si>
    <t>2025-10-30</t>
  </si>
  <si>
    <t>ORD0589</t>
  </si>
  <si>
    <t>Customer 14</t>
  </si>
  <si>
    <t>2025-10-28</t>
  </si>
  <si>
    <t>ORD0557</t>
  </si>
  <si>
    <t>Customer 4</t>
  </si>
  <si>
    <t>2025-10-13</t>
  </si>
  <si>
    <t>ORD0522</t>
  </si>
  <si>
    <t>Customer 46</t>
  </si>
  <si>
    <t>ORD0485</t>
  </si>
  <si>
    <t>2025-10-31</t>
  </si>
  <si>
    <t>ORD0472</t>
  </si>
  <si>
    <t>Customer 44</t>
  </si>
  <si>
    <t>2025-10-14</t>
  </si>
  <si>
    <t>ORD0471</t>
  </si>
  <si>
    <t>Desk</t>
  </si>
  <si>
    <t>Customer 28</t>
  </si>
  <si>
    <t>ORD0342</t>
  </si>
  <si>
    <t>2025-10-10</t>
  </si>
  <si>
    <t>ORD0280</t>
  </si>
  <si>
    <t>Customer 50</t>
  </si>
  <si>
    <t>ORD0203</t>
  </si>
  <si>
    <t>Customer 20</t>
  </si>
  <si>
    <t>2025-10-16</t>
  </si>
  <si>
    <t>ORD0176</t>
  </si>
  <si>
    <t>ORD0160</t>
  </si>
  <si>
    <t>2025-10-21</t>
  </si>
  <si>
    <t>ORD0028</t>
  </si>
  <si>
    <t>Customer 27</t>
  </si>
  <si>
    <t>November</t>
  </si>
  <si>
    <t>2025-11-25</t>
  </si>
  <si>
    <t>ORD0963</t>
  </si>
  <si>
    <t>Customer 16</t>
  </si>
  <si>
    <t>2025-11-12</t>
  </si>
  <si>
    <t>ORD0860</t>
  </si>
  <si>
    <t>2025-11-27</t>
  </si>
  <si>
    <t>ORD0554</t>
  </si>
  <si>
    <t>2025-11-01</t>
  </si>
  <si>
    <t>ORD0429</t>
  </si>
  <si>
    <t>2025-11-26</t>
  </si>
  <si>
    <t>ORD0285</t>
  </si>
  <si>
    <t>Customer 43</t>
  </si>
  <si>
    <t>2025-11-20</t>
  </si>
  <si>
    <t>ORD0271</t>
  </si>
  <si>
    <t>2025-11-22</t>
  </si>
  <si>
    <t>ORD0241</t>
  </si>
  <si>
    <t>Customer 2</t>
  </si>
  <si>
    <t>2025-11-18</t>
  </si>
  <si>
    <t>ORD0235</t>
  </si>
  <si>
    <t>2025-11-24</t>
  </si>
  <si>
    <t>ORD0140</t>
  </si>
  <si>
    <t>Customer 47</t>
  </si>
  <si>
    <t>2025-11-13</t>
  </si>
  <si>
    <t>ORD0128</t>
  </si>
  <si>
    <t>Customer 15</t>
  </si>
  <si>
    <t>May</t>
  </si>
  <si>
    <t>2025-05-18</t>
  </si>
  <si>
    <t>ORD0968</t>
  </si>
  <si>
    <t>2025-05-29</t>
  </si>
  <si>
    <t>ORD0932</t>
  </si>
  <si>
    <t>2025-05-07</t>
  </si>
  <si>
    <t>ORD0817</t>
  </si>
  <si>
    <t>ORD0639</t>
  </si>
  <si>
    <t>Customer 1</t>
  </si>
  <si>
    <t>2025-05-08</t>
  </si>
  <si>
    <t>ORD0615</t>
  </si>
  <si>
    <t>2025-05-25</t>
  </si>
  <si>
    <t>ORD0550</t>
  </si>
  <si>
    <t>2025-05-10</t>
  </si>
  <si>
    <t>ORD0527</t>
  </si>
  <si>
    <t>Customer 36</t>
  </si>
  <si>
    <t>2025-05-31</t>
  </si>
  <si>
    <t>ORD0519</t>
  </si>
  <si>
    <t>Customer 3</t>
  </si>
  <si>
    <t>2025-05-03</t>
  </si>
  <si>
    <t>ORD0449</t>
  </si>
  <si>
    <t>2025-05-30</t>
  </si>
  <si>
    <t>ORD0400</t>
  </si>
  <si>
    <t>Customer 11</t>
  </si>
  <si>
    <t>ORD0353</t>
  </si>
  <si>
    <t>2025-05-02</t>
  </si>
  <si>
    <t>ORD0270</t>
  </si>
  <si>
    <t>2025-05-24</t>
  </si>
  <si>
    <t>ORD0248</t>
  </si>
  <si>
    <t>2025-05-21</t>
  </si>
  <si>
    <t>ORD0141</t>
  </si>
  <si>
    <t>ORD0095</t>
  </si>
  <si>
    <t>ORD0002</t>
  </si>
  <si>
    <t>March</t>
  </si>
  <si>
    <t>2025-03-15</t>
  </si>
  <si>
    <t>ORD0940</t>
  </si>
  <si>
    <t>2025-03-02</t>
  </si>
  <si>
    <t>ORD0840</t>
  </si>
  <si>
    <t>2025-03-11</t>
  </si>
  <si>
    <t>ORD0815</t>
  </si>
  <si>
    <t>Customer 21</t>
  </si>
  <si>
    <t>2025-03-04</t>
  </si>
  <si>
    <t>ORD0708</t>
  </si>
  <si>
    <t>ORD0705</t>
  </si>
  <si>
    <t>2025-03-05</t>
  </si>
  <si>
    <t>ORD0701</t>
  </si>
  <si>
    <t>2025-03-08</t>
  </si>
  <si>
    <t>ORD0602</t>
  </si>
  <si>
    <t>2025-03-27</t>
  </si>
  <si>
    <t>ORD0568</t>
  </si>
  <si>
    <t>2025-03-14</t>
  </si>
  <si>
    <t>ORD0499</t>
  </si>
  <si>
    <t>2025-03-29</t>
  </si>
  <si>
    <t>ORD0349</t>
  </si>
  <si>
    <t>ORD0344</t>
  </si>
  <si>
    <t>2025-03-22</t>
  </si>
  <si>
    <t>ORD0308</t>
  </si>
  <si>
    <t>2025-03-09</t>
  </si>
  <si>
    <t>ORD0275</t>
  </si>
  <si>
    <t>2025-03-24</t>
  </si>
  <si>
    <t>ORD0149</t>
  </si>
  <si>
    <t>2025-03-28</t>
  </si>
  <si>
    <t>ORD0138</t>
  </si>
  <si>
    <t>Customer 7</t>
  </si>
  <si>
    <t>2025-03-10</t>
  </si>
  <si>
    <t>ORD0088</t>
  </si>
  <si>
    <t>June</t>
  </si>
  <si>
    <t>2025-06-27</t>
  </si>
  <si>
    <t>ORD0715</t>
  </si>
  <si>
    <t>Customer 30</t>
  </si>
  <si>
    <t>2025-06-15</t>
  </si>
  <si>
    <t>ORD0626</t>
  </si>
  <si>
    <t>2025-06-12</t>
  </si>
  <si>
    <t>ORD0418</t>
  </si>
  <si>
    <t>2025-06-11</t>
  </si>
  <si>
    <t>ORD0416</t>
  </si>
  <si>
    <t>2025-06-16</t>
  </si>
  <si>
    <t>ORD0339</t>
  </si>
  <si>
    <t>2025-06-10</t>
  </si>
  <si>
    <t>ORD0302</t>
  </si>
  <si>
    <t>Customer 9</t>
  </si>
  <si>
    <t>ORD0113</t>
  </si>
  <si>
    <t>2025-06-29</t>
  </si>
  <si>
    <t>ORD0051</t>
  </si>
  <si>
    <t>July</t>
  </si>
  <si>
    <t>2025-07-05</t>
  </si>
  <si>
    <t>ORD0922</t>
  </si>
  <si>
    <t>Customer 29</t>
  </si>
  <si>
    <t>2025-07-25</t>
  </si>
  <si>
    <t>ORD0909</t>
  </si>
  <si>
    <t>2025-07-07</t>
  </si>
  <si>
    <t>ORD0852</t>
  </si>
  <si>
    <t>2025-07-14</t>
  </si>
  <si>
    <t>ORD0820</t>
  </si>
  <si>
    <t>2025-07-21</t>
  </si>
  <si>
    <t>ORD0809</t>
  </si>
  <si>
    <t>2025-07-04</t>
  </si>
  <si>
    <t>ORD0799</t>
  </si>
  <si>
    <t>2025-07-08</t>
  </si>
  <si>
    <t>ORD0669</t>
  </si>
  <si>
    <t>2025-07-17</t>
  </si>
  <si>
    <t>ORD0624</t>
  </si>
  <si>
    <t>2025-07-15</t>
  </si>
  <si>
    <t>ORD0575</t>
  </si>
  <si>
    <t>Customer 39</t>
  </si>
  <si>
    <t>2025-07-10</t>
  </si>
  <si>
    <t>ORD0422</t>
  </si>
  <si>
    <t>ORD0417</t>
  </si>
  <si>
    <t>ORD0380</t>
  </si>
  <si>
    <t>ORD0365</t>
  </si>
  <si>
    <t>ORD0362</t>
  </si>
  <si>
    <t>2025-07-26</t>
  </si>
  <si>
    <t>ORD0327</t>
  </si>
  <si>
    <t>Customer 33</t>
  </si>
  <si>
    <t>2025-07-29</t>
  </si>
  <si>
    <t>ORD0222</t>
  </si>
  <si>
    <t>ORD0173</t>
  </si>
  <si>
    <t>2025-07-13</t>
  </si>
  <si>
    <t>ORD0073</t>
  </si>
  <si>
    <t>2025-07-24</t>
  </si>
  <si>
    <t>ORD0066</t>
  </si>
  <si>
    <t>ORD0041</t>
  </si>
  <si>
    <t>2025-07-22</t>
  </si>
  <si>
    <t>ORD0027</t>
  </si>
  <si>
    <t>January</t>
  </si>
  <si>
    <t>2025-01-04</t>
  </si>
  <si>
    <t>ORD0986</t>
  </si>
  <si>
    <t>2025-01-13</t>
  </si>
  <si>
    <t>ORD0731</t>
  </si>
  <si>
    <t>2025-01-03</t>
  </si>
  <si>
    <t>ORD0678</t>
  </si>
  <si>
    <t>2025-01-20</t>
  </si>
  <si>
    <t>ORD0620</t>
  </si>
  <si>
    <t>2025-01-21</t>
  </si>
  <si>
    <t>ORD0539</t>
  </si>
  <si>
    <t>2025-01-05</t>
  </si>
  <si>
    <t>ORD0538</t>
  </si>
  <si>
    <t>2025-01-19</t>
  </si>
  <si>
    <t>ORD0452</t>
  </si>
  <si>
    <t>2025-01-27</t>
  </si>
  <si>
    <t>ORD0436</t>
  </si>
  <si>
    <t>2025-01-02</t>
  </si>
  <si>
    <t>ORD0398</t>
  </si>
  <si>
    <t>Customer 25</t>
  </si>
  <si>
    <t>2025-01-26</t>
  </si>
  <si>
    <t>ORD0341</t>
  </si>
  <si>
    <t>2025-01-17</t>
  </si>
  <si>
    <t>ORD0243</t>
  </si>
  <si>
    <t>2025-01-11</t>
  </si>
  <si>
    <t>ORD0233</t>
  </si>
  <si>
    <t>ORD0211</t>
  </si>
  <si>
    <t>2025-01-14</t>
  </si>
  <si>
    <t>ORD0163</t>
  </si>
  <si>
    <t>ORD0158</t>
  </si>
  <si>
    <t>2025-01-23</t>
  </si>
  <si>
    <t>ORD0135</t>
  </si>
  <si>
    <t>2025-01-24</t>
  </si>
  <si>
    <t>ORD0108</t>
  </si>
  <si>
    <t>Customer 35</t>
  </si>
  <si>
    <t>February</t>
  </si>
  <si>
    <t>2025-02-04</t>
  </si>
  <si>
    <t>ORD0982</t>
  </si>
  <si>
    <t>2025-02-03</t>
  </si>
  <si>
    <t>ORD0938</t>
  </si>
  <si>
    <t>2025-02-10</t>
  </si>
  <si>
    <t>ORD0923</t>
  </si>
  <si>
    <t>2025-02-19</t>
  </si>
  <si>
    <t>ORD0919</t>
  </si>
  <si>
    <t>2025-02-16</t>
  </si>
  <si>
    <t>ORD0911</t>
  </si>
  <si>
    <t>ORD0822</t>
  </si>
  <si>
    <t>2025-02-23</t>
  </si>
  <si>
    <t>ORD0802</t>
  </si>
  <si>
    <t>2025-02-17</t>
  </si>
  <si>
    <t>ORD0774</t>
  </si>
  <si>
    <t>ORD0755</t>
  </si>
  <si>
    <t>2025-02-02</t>
  </si>
  <si>
    <t>ORD0745</t>
  </si>
  <si>
    <t>2025-02-22</t>
  </si>
  <si>
    <t>ORD0717</t>
  </si>
  <si>
    <t>ORD0714</t>
  </si>
  <si>
    <t>2025-02-05</t>
  </si>
  <si>
    <t>ORD0704</t>
  </si>
  <si>
    <t>ORD0653</t>
  </si>
  <si>
    <t>2025-02-21</t>
  </si>
  <si>
    <t>ORD0603</t>
  </si>
  <si>
    <t>ORD0477</t>
  </si>
  <si>
    <t>2025-02-20</t>
  </si>
  <si>
    <t>ORD0369</t>
  </si>
  <si>
    <t>2025-02-13</t>
  </si>
  <si>
    <t>ORD0303</t>
  </si>
  <si>
    <t>ORD0286</t>
  </si>
  <si>
    <t>ORD0164</t>
  </si>
  <si>
    <t>ORD0153</t>
  </si>
  <si>
    <t>ORD0079</t>
  </si>
  <si>
    <t>ORD0063</t>
  </si>
  <si>
    <t>ORD0038</t>
  </si>
  <si>
    <t>2025-02-06</t>
  </si>
  <si>
    <t>ORD0003</t>
  </si>
  <si>
    <t>December</t>
  </si>
  <si>
    <t>2025-12-01</t>
  </si>
  <si>
    <t>ORD0810</t>
  </si>
  <si>
    <t>2025-12-16</t>
  </si>
  <si>
    <t>ORD0695</t>
  </si>
  <si>
    <t>2025-12-18</t>
  </si>
  <si>
    <t>ORD0621</t>
  </si>
  <si>
    <t>2025-12-06</t>
  </si>
  <si>
    <t>ORD0606</t>
  </si>
  <si>
    <t>2025-12-04</t>
  </si>
  <si>
    <t>ORD0451</t>
  </si>
  <si>
    <t>2025-12-20</t>
  </si>
  <si>
    <t>ORD0407</t>
  </si>
  <si>
    <t>2025-12-07</t>
  </si>
  <si>
    <t>ORD0377</t>
  </si>
  <si>
    <t>2025-12-25</t>
  </si>
  <si>
    <t>ORD0363</t>
  </si>
  <si>
    <t>2025-12-22</t>
  </si>
  <si>
    <t>ORD0351</t>
  </si>
  <si>
    <t>Customer 37</t>
  </si>
  <si>
    <t>2025-12-24</t>
  </si>
  <si>
    <t>ORD0223</t>
  </si>
  <si>
    <t>2025-12-28</t>
  </si>
  <si>
    <t>ORD0186</t>
  </si>
  <si>
    <t>ORD0181</t>
  </si>
  <si>
    <t>ORD0097</t>
  </si>
  <si>
    <t>ORD0065</t>
  </si>
  <si>
    <t>2025-12-02</t>
  </si>
  <si>
    <t>ORD0053</t>
  </si>
  <si>
    <t>ORD0042</t>
  </si>
  <si>
    <t>2025-12-11</t>
  </si>
  <si>
    <t>ORD0008</t>
  </si>
  <si>
    <t>August</t>
  </si>
  <si>
    <t>2025-08-22</t>
  </si>
  <si>
    <t>ORD0972</t>
  </si>
  <si>
    <t>2025-08-05</t>
  </si>
  <si>
    <t>ORD0967</t>
  </si>
  <si>
    <t>2025-08-01</t>
  </si>
  <si>
    <t>ORD0924</t>
  </si>
  <si>
    <t>2025-08-31</t>
  </si>
  <si>
    <t>ORD0881</t>
  </si>
  <si>
    <t>2025-08-20</t>
  </si>
  <si>
    <t>ORD0870</t>
  </si>
  <si>
    <t>2025-08-08</t>
  </si>
  <si>
    <t>ORD0856</t>
  </si>
  <si>
    <t>ORD0776</t>
  </si>
  <si>
    <t>2025-08-24</t>
  </si>
  <si>
    <t>ORD0580</t>
  </si>
  <si>
    <t>ORD0565</t>
  </si>
  <si>
    <t>2025-08-15</t>
  </si>
  <si>
    <t>ORD0551</t>
  </si>
  <si>
    <t>2025-08-03</t>
  </si>
  <si>
    <t>ORD0512</t>
  </si>
  <si>
    <t>2025-08-06</t>
  </si>
  <si>
    <t>ORD0433</t>
  </si>
  <si>
    <t>ORD0147</t>
  </si>
  <si>
    <t>2025-08-27</t>
  </si>
  <si>
    <t>ORD0064</t>
  </si>
  <si>
    <t>April</t>
  </si>
  <si>
    <t>2025-04-21</t>
  </si>
  <si>
    <t>ORD0989</t>
  </si>
  <si>
    <t>2025-04-29</t>
  </si>
  <si>
    <t>ORD0806</t>
  </si>
  <si>
    <t>2025-04-26</t>
  </si>
  <si>
    <t>ORD0607</t>
  </si>
  <si>
    <t>2025-04-24</t>
  </si>
  <si>
    <t>ORD0524</t>
  </si>
  <si>
    <t>2025-04-23</t>
  </si>
  <si>
    <t>ORD0440</t>
  </si>
  <si>
    <t>2025-04-19</t>
  </si>
  <si>
    <t>ORD0388</t>
  </si>
  <si>
    <t>2025-04-25</t>
  </si>
  <si>
    <t>ORD0225</t>
  </si>
  <si>
    <t>ORD0146</t>
  </si>
  <si>
    <t>2025-04-01</t>
  </si>
  <si>
    <t>ORD0093</t>
  </si>
  <si>
    <t>2025-04-07</t>
  </si>
  <si>
    <t>ORD0083</t>
  </si>
  <si>
    <t>ORD0941</t>
  </si>
  <si>
    <t>ORD0864</t>
  </si>
  <si>
    <t>ORD0857</t>
  </si>
  <si>
    <t>ORD0747</t>
  </si>
  <si>
    <t>2025-09-06</t>
  </si>
  <si>
    <t>ORD0547</t>
  </si>
  <si>
    <t>ORD0529</t>
  </si>
  <si>
    <t>2025-09-24</t>
  </si>
  <si>
    <t>ORD0454</t>
  </si>
  <si>
    <t>2025-09-20</t>
  </si>
  <si>
    <t>ORD0448</t>
  </si>
  <si>
    <t>2025-09-03</t>
  </si>
  <si>
    <t>ORD0409</t>
  </si>
  <si>
    <t>2025-09-09</t>
  </si>
  <si>
    <t>ORD0374</t>
  </si>
  <si>
    <t>2025-09-19</t>
  </si>
  <si>
    <t>ORD0372</t>
  </si>
  <si>
    <t>ORD0358</t>
  </si>
  <si>
    <t>ORD0335</t>
  </si>
  <si>
    <t>ORD0109</t>
  </si>
  <si>
    <t>ORD0075</t>
  </si>
  <si>
    <t>2025-10-18</t>
  </si>
  <si>
    <t>ORD0930</t>
  </si>
  <si>
    <t>ORD0883</t>
  </si>
  <si>
    <t>2025-10-02</t>
  </si>
  <si>
    <t>ORD0812</t>
  </si>
  <si>
    <t>2025-10-05</t>
  </si>
  <si>
    <t>ORD0748</t>
  </si>
  <si>
    <t>ORD0651</t>
  </si>
  <si>
    <t>ORD0616</t>
  </si>
  <si>
    <t>ORD0487</t>
  </si>
  <si>
    <t>ORD0460</t>
  </si>
  <si>
    <t>ORD0336</t>
  </si>
  <si>
    <t>ORD0101</t>
  </si>
  <si>
    <t>ORD0026</t>
  </si>
  <si>
    <t>2025-10-19</t>
  </si>
  <si>
    <t>ORD0019</t>
  </si>
  <si>
    <t>2025-10-22</t>
  </si>
  <si>
    <t>ORD0013</t>
  </si>
  <si>
    <t>2025-11-05</t>
  </si>
  <si>
    <t>ORD0756</t>
  </si>
  <si>
    <t>2025-11-04</t>
  </si>
  <si>
    <t>ORD0707</t>
  </si>
  <si>
    <t>ORD0625</t>
  </si>
  <si>
    <t>ORD0558</t>
  </si>
  <si>
    <t>2025-11-08</t>
  </si>
  <si>
    <t>ORD0510</t>
  </si>
  <si>
    <t>2025-11-30</t>
  </si>
  <si>
    <t>ORD0494</t>
  </si>
  <si>
    <t>2025-11-11</t>
  </si>
  <si>
    <t>ORD0463</t>
  </si>
  <si>
    <t>ORD0420</t>
  </si>
  <si>
    <t>2025-11-14</t>
  </si>
  <si>
    <t>ORD0299</t>
  </si>
  <si>
    <t>2025-11-21</t>
  </si>
  <si>
    <t>ORD0258</t>
  </si>
  <si>
    <t>ORD0052</t>
  </si>
  <si>
    <t>2025-11-06</t>
  </si>
  <si>
    <t>ORD0001</t>
  </si>
  <si>
    <t>ORD0913</t>
  </si>
  <si>
    <t>2025-05-28</t>
  </si>
  <si>
    <t>ORD0902</t>
  </si>
  <si>
    <t>2025-05-27</t>
  </si>
  <si>
    <t>ORD0827</t>
  </si>
  <si>
    <t>2025-05-26</t>
  </si>
  <si>
    <t>ORD0795</t>
  </si>
  <si>
    <t>2025-05-12</t>
  </si>
  <si>
    <t>ORD0741</t>
  </si>
  <si>
    <t>ORD0706</t>
  </si>
  <si>
    <t>2025-05-15</t>
  </si>
  <si>
    <t>ORD0641</t>
  </si>
  <si>
    <t>2025-05-14</t>
  </si>
  <si>
    <t>ORD0542</t>
  </si>
  <si>
    <t>2025-05-19</t>
  </si>
  <si>
    <t>ORD0493</t>
  </si>
  <si>
    <t>ORD0488</t>
  </si>
  <si>
    <t>ORD0470</t>
  </si>
  <si>
    <t>2025-05-05</t>
  </si>
  <si>
    <t>ORD0450</t>
  </si>
  <si>
    <t>2025-05-20</t>
  </si>
  <si>
    <t>ORD0393</t>
  </si>
  <si>
    <t>ORD0368</t>
  </si>
  <si>
    <t>ORD0310</t>
  </si>
  <si>
    <t>ORD0250</t>
  </si>
  <si>
    <t>2025-05-13</t>
  </si>
  <si>
    <t>ORD0232</t>
  </si>
  <si>
    <t>ORD0129</t>
  </si>
  <si>
    <t>ORD0087</t>
  </si>
  <si>
    <t>ORD0855</t>
  </si>
  <si>
    <t>ORD0742</t>
  </si>
  <si>
    <t>2025-03-26</t>
  </si>
  <si>
    <t>ORD0728</t>
  </si>
  <si>
    <t>2025-03-17</t>
  </si>
  <si>
    <t>ORD0727</t>
  </si>
  <si>
    <t>2025-03-07</t>
  </si>
  <si>
    <t>ORD0670</t>
  </si>
  <si>
    <t>ORD0549</t>
  </si>
  <si>
    <t>2025-03-30</t>
  </si>
  <si>
    <t>ORD0483</t>
  </si>
  <si>
    <t>ORD0442</t>
  </si>
  <si>
    <t>2025-03-01</t>
  </si>
  <si>
    <t>ORD0402</t>
  </si>
  <si>
    <t>ORD0390</t>
  </si>
  <si>
    <t>ORD0367</t>
  </si>
  <si>
    <t>2025-03-12</t>
  </si>
  <si>
    <t>ORD0328</t>
  </si>
  <si>
    <t>ORD0296</t>
  </si>
  <si>
    <t>ORD0224</t>
  </si>
  <si>
    <t>2025-03-20</t>
  </si>
  <si>
    <t>ORD0208</t>
  </si>
  <si>
    <t>2025-03-13</t>
  </si>
  <si>
    <t>ORD0198</t>
  </si>
  <si>
    <t>ORD0195</t>
  </si>
  <si>
    <t>ORD0123</t>
  </si>
  <si>
    <t>ORD0070</t>
  </si>
  <si>
    <t>ORD0010</t>
  </si>
  <si>
    <t>ORD0936</t>
  </si>
  <si>
    <t>2025-06-20</t>
  </si>
  <si>
    <t>ORD0916</t>
  </si>
  <si>
    <t>2025-06-03</t>
  </si>
  <si>
    <t>ORD0861</t>
  </si>
  <si>
    <t>2025-06-02</t>
  </si>
  <si>
    <t>ORD0828</t>
  </si>
  <si>
    <t>2025-06-04</t>
  </si>
  <si>
    <t>ORD0768</t>
  </si>
  <si>
    <t>2025-06-06</t>
  </si>
  <si>
    <t>ORD0759</t>
  </si>
  <si>
    <t>2025-06-28</t>
  </si>
  <si>
    <t>ORD0666</t>
  </si>
  <si>
    <t>ORD0646</t>
  </si>
  <si>
    <t>2025-06-22</t>
  </si>
  <si>
    <t>ORD0631</t>
  </si>
  <si>
    <t>2025-06-17</t>
  </si>
  <si>
    <t>ORD0604</t>
  </si>
  <si>
    <t>ORD0560</t>
  </si>
  <si>
    <t>2025-06-08</t>
  </si>
  <si>
    <t>ORD0389</t>
  </si>
  <si>
    <t>2025-06-21</t>
  </si>
  <si>
    <t>ORD0376</t>
  </si>
  <si>
    <t>2025-06-24</t>
  </si>
  <si>
    <t>ORD0350</t>
  </si>
  <si>
    <t>ORD0284</t>
  </si>
  <si>
    <t>ORD0220</t>
  </si>
  <si>
    <t>ORD0218</t>
  </si>
  <si>
    <t>2025-06-14</t>
  </si>
  <si>
    <t>ORD0201</t>
  </si>
  <si>
    <t>ORD0174</t>
  </si>
  <si>
    <t>2025-06-25</t>
  </si>
  <si>
    <t>ORD0134</t>
  </si>
  <si>
    <t>ORD0119</t>
  </si>
  <si>
    <t>ORD0992</t>
  </si>
  <si>
    <t>2025-07-18</t>
  </si>
  <si>
    <t>ORD0939</t>
  </si>
  <si>
    <t>ORD0910</t>
  </si>
  <si>
    <t>ORD0682</t>
  </si>
  <si>
    <t>ORD0610</t>
  </si>
  <si>
    <t>ORD0581</t>
  </si>
  <si>
    <t>2025-07-09</t>
  </si>
  <si>
    <t>ORD0508</t>
  </si>
  <si>
    <t>ORD0475</t>
  </si>
  <si>
    <t>ORD0437</t>
  </si>
  <si>
    <t>2025-07-16</t>
  </si>
  <si>
    <t>ORD0423</t>
  </si>
  <si>
    <t>2025-07-28</t>
  </si>
  <si>
    <t>ORD0361</t>
  </si>
  <si>
    <t>ORD0257</t>
  </si>
  <si>
    <t>ORD0217</t>
  </si>
  <si>
    <t>2025-07-11</t>
  </si>
  <si>
    <t>ORD0215</t>
  </si>
  <si>
    <t>2025-07-06</t>
  </si>
  <si>
    <t>ORD0213</t>
  </si>
  <si>
    <t>ORD0200</t>
  </si>
  <si>
    <t>2025-07-01</t>
  </si>
  <si>
    <t>ORD0072</t>
  </si>
  <si>
    <t>ORD0058</t>
  </si>
  <si>
    <t>2025-01-06</t>
  </si>
  <si>
    <t>ORD0878</t>
  </si>
  <si>
    <t>ORD0854</t>
  </si>
  <si>
    <t>ORD0772</t>
  </si>
  <si>
    <t>2025-01-22</t>
  </si>
  <si>
    <t>ORD0760</t>
  </si>
  <si>
    <t>ORD0746</t>
  </si>
  <si>
    <t>ORD0718</t>
  </si>
  <si>
    <t>ORD0662</t>
  </si>
  <si>
    <t>ORD0596</t>
  </si>
  <si>
    <t>ORD0559</t>
  </si>
  <si>
    <t>ORD0438</t>
  </si>
  <si>
    <t>2025-01-01</t>
  </si>
  <si>
    <t>ORD0322</t>
  </si>
  <si>
    <t>2025-01-10</t>
  </si>
  <si>
    <t>ORD0244</t>
  </si>
  <si>
    <t>2025-01-25</t>
  </si>
  <si>
    <t>ORD0219</t>
  </si>
  <si>
    <t>ORD0205</t>
  </si>
  <si>
    <t>ORD0107</t>
  </si>
  <si>
    <t>ORD0054</t>
  </si>
  <si>
    <t>2025-01-07</t>
  </si>
  <si>
    <t>ORD0014</t>
  </si>
  <si>
    <t>ORD0949</t>
  </si>
  <si>
    <t>2025-02-27</t>
  </si>
  <si>
    <t>ORD0882</t>
  </si>
  <si>
    <t>ORD0838</t>
  </si>
  <si>
    <t>2025-02-15</t>
  </si>
  <si>
    <t>ORD0836</t>
  </si>
  <si>
    <t>ORD0721</t>
  </si>
  <si>
    <t>2025-02-26</t>
  </si>
  <si>
    <t>ORD0658</t>
  </si>
  <si>
    <t>ORD0572</t>
  </si>
  <si>
    <t>ORD0346</t>
  </si>
  <si>
    <t>ORD0331</t>
  </si>
  <si>
    <t>2025-02-24</t>
  </si>
  <si>
    <t>ORD0314</t>
  </si>
  <si>
    <t>ORD0242</t>
  </si>
  <si>
    <t>ORD0226</t>
  </si>
  <si>
    <t>2025-02-11</t>
  </si>
  <si>
    <t>ORD0121</t>
  </si>
  <si>
    <t>2025-12-21</t>
  </si>
  <si>
    <t>ORD0978</t>
  </si>
  <si>
    <t>ORD0797</t>
  </si>
  <si>
    <t>ORD0782</t>
  </si>
  <si>
    <t>2025-12-08</t>
  </si>
  <si>
    <t>ORD0667</t>
  </si>
  <si>
    <t>2025-12-15</t>
  </si>
  <si>
    <t>ORD0553</t>
  </si>
  <si>
    <t>ORD0528</t>
  </si>
  <si>
    <t>ORD0492</t>
  </si>
  <si>
    <t>2025-12-17</t>
  </si>
  <si>
    <t>ORD0426</t>
  </si>
  <si>
    <t>2025-12-05</t>
  </si>
  <si>
    <t>ORD0405</t>
  </si>
  <si>
    <t>ORD0305</t>
  </si>
  <si>
    <t>2025-12-13</t>
  </si>
  <si>
    <t>ORD0221</t>
  </si>
  <si>
    <t>2025-12-19</t>
  </si>
  <si>
    <t>ORD0092</t>
  </si>
  <si>
    <t>ORD0059</t>
  </si>
  <si>
    <t>ORD0047</t>
  </si>
  <si>
    <t>ORD0044</t>
  </si>
  <si>
    <t>ORD0033</t>
  </si>
  <si>
    <t>ORD0016</t>
  </si>
  <si>
    <t>2025-08-09</t>
  </si>
  <si>
    <t>ORD0959</t>
  </si>
  <si>
    <t>2025-08-29</t>
  </si>
  <si>
    <t>ORD0925</t>
  </si>
  <si>
    <t>2025-08-23</t>
  </si>
  <si>
    <t>ORD0873</t>
  </si>
  <si>
    <t>ORD0690</t>
  </si>
  <si>
    <t>2025-08-13</t>
  </si>
  <si>
    <t>ORD0679</t>
  </si>
  <si>
    <t>ORD0617</t>
  </si>
  <si>
    <t>ORD0513</t>
  </si>
  <si>
    <t>2025-08-14</t>
  </si>
  <si>
    <t>ORD0506</t>
  </si>
  <si>
    <t>2025-08-11</t>
  </si>
  <si>
    <t>ORD0453</t>
  </si>
  <si>
    <t>2025-08-28</t>
  </si>
  <si>
    <t>ORD0290</t>
  </si>
  <si>
    <t>ORD0279</t>
  </si>
  <si>
    <t>ORD0276</t>
  </si>
  <si>
    <t>2025-08-12</t>
  </si>
  <si>
    <t>ORD0246</t>
  </si>
  <si>
    <t>2025-08-16</t>
  </si>
  <si>
    <t>ORD0165</t>
  </si>
  <si>
    <t>ORD0161</t>
  </si>
  <si>
    <t>2025-08-17</t>
  </si>
  <si>
    <t>ORD0030</t>
  </si>
  <si>
    <t>ORD0007</t>
  </si>
  <si>
    <t>ORD0975</t>
  </si>
  <si>
    <t>ORD0961</t>
  </si>
  <si>
    <t>ORD0928</t>
  </si>
  <si>
    <t>2025-04-10</t>
  </si>
  <si>
    <t>ORD0901</t>
  </si>
  <si>
    <t>ORD0900</t>
  </si>
  <si>
    <t>2025-04-20</t>
  </si>
  <si>
    <t>ORD0899</t>
  </si>
  <si>
    <t>ORD0837</t>
  </si>
  <si>
    <t>2025-04-09</t>
  </si>
  <si>
    <t>ORD0761</t>
  </si>
  <si>
    <t>2025-04-17</t>
  </si>
  <si>
    <t>ORD0739</t>
  </si>
  <si>
    <t>2025-04-05</t>
  </si>
  <si>
    <t>ORD0633</t>
  </si>
  <si>
    <t>2025-04-13</t>
  </si>
  <si>
    <t>ORD0500</t>
  </si>
  <si>
    <t>2025-04-30</t>
  </si>
  <si>
    <t>ORD0410</t>
  </si>
  <si>
    <t>ORD0313</t>
  </si>
  <si>
    <t>ORD0124</t>
  </si>
  <si>
    <t>ORD0057</t>
  </si>
  <si>
    <t>ORD0029</t>
  </si>
  <si>
    <t>2025-04-04</t>
  </si>
  <si>
    <t>ORD0005</t>
  </si>
  <si>
    <t>ORD0004</t>
  </si>
  <si>
    <t>ORD0888</t>
  </si>
  <si>
    <t>ORD0880</t>
  </si>
  <si>
    <t>2025-09-14</t>
  </si>
  <si>
    <t>ORD0858</t>
  </si>
  <si>
    <t>ORD0770</t>
  </si>
  <si>
    <t>ORD0713</t>
  </si>
  <si>
    <t>ORD0664</t>
  </si>
  <si>
    <t>ORD0659</t>
  </si>
  <si>
    <t>ORD0643</t>
  </si>
  <si>
    <t>ORD0501</t>
  </si>
  <si>
    <t>ORD0486</t>
  </si>
  <si>
    <t>ORD0371</t>
  </si>
  <si>
    <t>2025-09-12</t>
  </si>
  <si>
    <t>ORD0301</t>
  </si>
  <si>
    <t>ORD0288</t>
  </si>
  <si>
    <t>ORD0207</t>
  </si>
  <si>
    <t>ORD0194</t>
  </si>
  <si>
    <t>ORD0162</t>
  </si>
  <si>
    <t>ORD0145</t>
  </si>
  <si>
    <t>ORD0071</t>
  </si>
  <si>
    <t>ORD0060</t>
  </si>
  <si>
    <t>ORD0012</t>
  </si>
  <si>
    <t>2025-10-25</t>
  </si>
  <si>
    <t>ORD0984</t>
  </si>
  <si>
    <t>2025-10-08</t>
  </si>
  <si>
    <t>ORD0942</t>
  </si>
  <si>
    <t>ORD0869</t>
  </si>
  <si>
    <t>ORD0859</t>
  </si>
  <si>
    <t>ORD0757</t>
  </si>
  <si>
    <t>ORD0652</t>
  </si>
  <si>
    <t>ORD0648</t>
  </si>
  <si>
    <t>ORD0591</t>
  </si>
  <si>
    <t>ORD0584</t>
  </si>
  <si>
    <t>ORD0577</t>
  </si>
  <si>
    <t>ORD0541</t>
  </si>
  <si>
    <t>ORD0397</t>
  </si>
  <si>
    <t>2025-10-04</t>
  </si>
  <si>
    <t>ORD0324</t>
  </si>
  <si>
    <t>ORD0237</t>
  </si>
  <si>
    <t>ORD0133</t>
  </si>
  <si>
    <t>ORD0127</t>
  </si>
  <si>
    <t>2025-11-17</t>
  </si>
  <si>
    <t>ORD0946</t>
  </si>
  <si>
    <t>ORD0908</t>
  </si>
  <si>
    <t>ORD0844</t>
  </si>
  <si>
    <t>ORD0841</t>
  </si>
  <si>
    <t>ORD0830</t>
  </si>
  <si>
    <t>2025-11-28</t>
  </si>
  <si>
    <t>ORD0825</t>
  </si>
  <si>
    <t>ORD0784</t>
  </si>
  <si>
    <t>2025-11-10</t>
  </si>
  <si>
    <t>ORD0769</t>
  </si>
  <si>
    <t>ORD0764</t>
  </si>
  <si>
    <t>2025-11-23</t>
  </si>
  <si>
    <t>ORD0614</t>
  </si>
  <si>
    <t>2025-11-09</t>
  </si>
  <si>
    <t>ORD0590</t>
  </si>
  <si>
    <t>ORD0537</t>
  </si>
  <si>
    <t>ORD0514</t>
  </si>
  <si>
    <t>2025-11-16</t>
  </si>
  <si>
    <t>ORD0406</t>
  </si>
  <si>
    <t>ORD0386</t>
  </si>
  <si>
    <t>ORD0311</t>
  </si>
  <si>
    <t>ORD0282</t>
  </si>
  <si>
    <t>ORD0269</t>
  </si>
  <si>
    <t>ORD0206</t>
  </si>
  <si>
    <t>ORD0168</t>
  </si>
  <si>
    <t>ORD0156</t>
  </si>
  <si>
    <t>2025-11-07</t>
  </si>
  <si>
    <t>ORD0110</t>
  </si>
  <si>
    <t>2025-11-19</t>
  </si>
  <si>
    <t>ORD0094</t>
  </si>
  <si>
    <t>ORD0031</t>
  </si>
  <si>
    <t>ORD0829</t>
  </si>
  <si>
    <t>ORD0783</t>
  </si>
  <si>
    <t>2025-05-17</t>
  </si>
  <si>
    <t>ORD0763</t>
  </si>
  <si>
    <t>ORD0725</t>
  </si>
  <si>
    <t>ORD0623</t>
  </si>
  <si>
    <t>ORD0605</t>
  </si>
  <si>
    <t>ORD0534</t>
  </si>
  <si>
    <t>ORD0491</t>
  </si>
  <si>
    <t>ORD0459</t>
  </si>
  <si>
    <t>ORD0401</t>
  </si>
  <si>
    <t>2025-05-11</t>
  </si>
  <si>
    <t>ORD0343</t>
  </si>
  <si>
    <t>2025-05-23</t>
  </si>
  <si>
    <t>ORD0317</t>
  </si>
  <si>
    <t>2025-05-16</t>
  </si>
  <si>
    <t>ORD0293</t>
  </si>
  <si>
    <t>ORD0254</t>
  </si>
  <si>
    <t>ORD0249</t>
  </si>
  <si>
    <t>ORD0234</t>
  </si>
  <si>
    <t>ORD0184</t>
  </si>
  <si>
    <t>2025-05-09</t>
  </si>
  <si>
    <t>ORD0152</t>
  </si>
  <si>
    <t>ORD0111</t>
  </si>
  <si>
    <t>2025-03-18</t>
  </si>
  <si>
    <t>ORD0973</t>
  </si>
  <si>
    <t>ORD0947</t>
  </si>
  <si>
    <t>ORD0872</t>
  </si>
  <si>
    <t>2025-03-31</t>
  </si>
  <si>
    <t>ORD0754</t>
  </si>
  <si>
    <t>ORD0737</t>
  </si>
  <si>
    <t>ORD0665</t>
  </si>
  <si>
    <t>ORD0618</t>
  </si>
  <si>
    <t>ORD0531</t>
  </si>
  <si>
    <t>ORD0482</t>
  </si>
  <si>
    <t>ORD0425</t>
  </si>
  <si>
    <t>ORD0408</t>
  </si>
  <si>
    <t>ORD0391</t>
  </si>
  <si>
    <t>2025-03-06</t>
  </si>
  <si>
    <t>ORD0379</t>
  </si>
  <si>
    <t>ORD0170</t>
  </si>
  <si>
    <t>ORD0157</t>
  </si>
  <si>
    <t>ORD0885</t>
  </si>
  <si>
    <t>ORD0868</t>
  </si>
  <si>
    <t>ORD0732</t>
  </si>
  <si>
    <t>2025-06-09</t>
  </si>
  <si>
    <t>ORD0716</t>
  </si>
  <si>
    <t>2025-06-26</t>
  </si>
  <si>
    <t>ORD0711</t>
  </si>
  <si>
    <t>ORD0630</t>
  </si>
  <si>
    <t>ORD0597</t>
  </si>
  <si>
    <t>ORD0583</t>
  </si>
  <si>
    <t>ORD0571</t>
  </si>
  <si>
    <t>2025-06-18</t>
  </si>
  <si>
    <t>ORD0360</t>
  </si>
  <si>
    <t>ORD0189</t>
  </si>
  <si>
    <t>ORD0154</t>
  </si>
  <si>
    <t>ORD0933</t>
  </si>
  <si>
    <t>ORD0915</t>
  </si>
  <si>
    <t>ORD0906</t>
  </si>
  <si>
    <t>ORD0863</t>
  </si>
  <si>
    <t>2025-07-31</t>
  </si>
  <si>
    <t>ORD0826</t>
  </si>
  <si>
    <t>2025-07-20</t>
  </si>
  <si>
    <t>ORD0788</t>
  </si>
  <si>
    <t>ORD0735</t>
  </si>
  <si>
    <t>ORD0726</t>
  </si>
  <si>
    <t>2025-07-19</t>
  </si>
  <si>
    <t>ORD0694</t>
  </si>
  <si>
    <t>ORD0586</t>
  </si>
  <si>
    <t>2025-07-27</t>
  </si>
  <si>
    <t>ORD0552</t>
  </si>
  <si>
    <t>ORD0526</t>
  </si>
  <si>
    <t>ORD0348</t>
  </si>
  <si>
    <t>ORD0202</t>
  </si>
  <si>
    <t>ORD0894</t>
  </si>
  <si>
    <t>ORD0862</t>
  </si>
  <si>
    <t>ORD0835</t>
  </si>
  <si>
    <t>ORD0834</t>
  </si>
  <si>
    <t>2025-01-18</t>
  </si>
  <si>
    <t>ORD0766</t>
  </si>
  <si>
    <t>2025-01-16</t>
  </si>
  <si>
    <t>ORD0722</t>
  </si>
  <si>
    <t>2025-01-30</t>
  </si>
  <si>
    <t>ORD0710</t>
  </si>
  <si>
    <t>ORD0672</t>
  </si>
  <si>
    <t>ORD0628</t>
  </si>
  <si>
    <t>ORD0457</t>
  </si>
  <si>
    <t>ORD0441</t>
  </si>
  <si>
    <t>ORD0297</t>
  </si>
  <si>
    <t>ORD0199</t>
  </si>
  <si>
    <t>2025-01-15</t>
  </si>
  <si>
    <t>ORD0169</t>
  </si>
  <si>
    <t>ORD0136</t>
  </si>
  <si>
    <t>ORD0131</t>
  </si>
  <si>
    <t>ORD0043</t>
  </si>
  <si>
    <t>ORD0912</t>
  </si>
  <si>
    <t>ORD0789</t>
  </si>
  <si>
    <t>ORD0777</t>
  </si>
  <si>
    <t>ORD0736</t>
  </si>
  <si>
    <t>ORD0668</t>
  </si>
  <si>
    <t>ORD0582</t>
  </si>
  <si>
    <t>ORD0563</t>
  </si>
  <si>
    <t>2025-02-18</t>
  </si>
  <si>
    <t>ORD0555</t>
  </si>
  <si>
    <t>ORD0525</t>
  </si>
  <si>
    <t>ORD0497</t>
  </si>
  <si>
    <t>ORD0392</t>
  </si>
  <si>
    <t>ORD0373</t>
  </si>
  <si>
    <t>2025-02-14</t>
  </si>
  <si>
    <t>ORD0118</t>
  </si>
  <si>
    <t>ORD0017</t>
  </si>
  <si>
    <t>ORD0015</t>
  </si>
  <si>
    <t>ORD0983</t>
  </si>
  <si>
    <t>2025-12-30</t>
  </si>
  <si>
    <t>ORD0969</t>
  </si>
  <si>
    <t>2025-12-29</t>
  </si>
  <si>
    <t>ORD0966</t>
  </si>
  <si>
    <t>ORD0892</t>
  </si>
  <si>
    <t>ORD0823</t>
  </si>
  <si>
    <t>ORD0587</t>
  </si>
  <si>
    <t>ORD0503</t>
  </si>
  <si>
    <t>ORD0468</t>
  </si>
  <si>
    <t>ORD0464</t>
  </si>
  <si>
    <t>ORD0458</t>
  </si>
  <si>
    <t>ORD0309</t>
  </si>
  <si>
    <t>ORD0283</t>
  </si>
  <si>
    <t>ORD0188</t>
  </si>
  <si>
    <t>ORD0080</t>
  </si>
  <si>
    <t>2025-08-19</t>
  </si>
  <si>
    <t>ORD0994</t>
  </si>
  <si>
    <t>2025-08-26</t>
  </si>
  <si>
    <t>ORD0980</t>
  </si>
  <si>
    <t>ORD0851</t>
  </si>
  <si>
    <t>ORD0801</t>
  </si>
  <si>
    <t>ORD0786</t>
  </si>
  <si>
    <t>ORD0634</t>
  </si>
  <si>
    <t>ORD0611</t>
  </si>
  <si>
    <t>ORD0545</t>
  </si>
  <si>
    <t>ORD0502</t>
  </si>
  <si>
    <t>ORD0430</t>
  </si>
  <si>
    <t>2025-08-04</t>
  </si>
  <si>
    <t>ORD0191</t>
  </si>
  <si>
    <t>ORD0117</t>
  </si>
  <si>
    <t>ORD0114</t>
  </si>
  <si>
    <t>ORD0086</t>
  </si>
  <si>
    <t>ORD0022</t>
  </si>
  <si>
    <t>ORD0931</t>
  </si>
  <si>
    <t>ORD0929</t>
  </si>
  <si>
    <t>2025-04-03</t>
  </si>
  <si>
    <t>ORD0893</t>
  </si>
  <si>
    <t>2025-04-22</t>
  </si>
  <si>
    <t>ORD0848</t>
  </si>
  <si>
    <t>ORD0744</t>
  </si>
  <si>
    <t>ORD0689</t>
  </si>
  <si>
    <t>2025-04-16</t>
  </si>
  <si>
    <t>ORD0578</t>
  </si>
  <si>
    <t>ORD0544</t>
  </si>
  <si>
    <t>ORD0473</t>
  </si>
  <si>
    <t>ORD0385</t>
  </si>
  <si>
    <t>ORD0192</t>
  </si>
  <si>
    <t>ORD0171</t>
  </si>
  <si>
    <t>ORD0148</t>
  </si>
  <si>
    <t>ORD0067</t>
  </si>
  <si>
    <t>2025-04-02</t>
  </si>
  <si>
    <t>ORD0048</t>
  </si>
  <si>
    <t>2025-04-12</t>
  </si>
  <si>
    <t>ORD0020</t>
  </si>
  <si>
    <t>ORD0952</t>
  </si>
  <si>
    <t>ORD0879</t>
  </si>
  <si>
    <t>ORD0842</t>
  </si>
  <si>
    <t>ORD0808</t>
  </si>
  <si>
    <t>ORD0800</t>
  </si>
  <si>
    <t>ORD0751</t>
  </si>
  <si>
    <t>ORD0734</t>
  </si>
  <si>
    <t>2025-09-25</t>
  </si>
  <si>
    <t>ORD0729</t>
  </si>
  <si>
    <t>ORD0661</t>
  </si>
  <si>
    <t>2025-09-15</t>
  </si>
  <si>
    <t>ORD0656</t>
  </si>
  <si>
    <t>ORD0479</t>
  </si>
  <si>
    <t>ORD0381</t>
  </si>
  <si>
    <t>ORD0354</t>
  </si>
  <si>
    <t>ORD0227</t>
  </si>
  <si>
    <t>ORD0214</t>
  </si>
  <si>
    <t>ORD0159</t>
  </si>
  <si>
    <t>ORD0049</t>
  </si>
  <si>
    <t>ORD0034</t>
  </si>
  <si>
    <t>ORD0993</t>
  </si>
  <si>
    <t>2025-10-15</t>
  </si>
  <si>
    <t>ORD0953</t>
  </si>
  <si>
    <t>ORD0921</t>
  </si>
  <si>
    <t>ORD0918</t>
  </si>
  <si>
    <t>ORD0904</t>
  </si>
  <si>
    <t>ORD0807</t>
  </si>
  <si>
    <t>ORD0792</t>
  </si>
  <si>
    <t>ORD0740</t>
  </si>
  <si>
    <t>ORD0703</t>
  </si>
  <si>
    <t>ORD0505</t>
  </si>
  <si>
    <t>ORD0443</t>
  </si>
  <si>
    <t>2025-10-26</t>
  </si>
  <si>
    <t>ORD0431</t>
  </si>
  <si>
    <t>ORD0399</t>
  </si>
  <si>
    <t>ORD0383</t>
  </si>
  <si>
    <t>ORD0382</t>
  </si>
  <si>
    <t>ORD0357</t>
  </si>
  <si>
    <t>ORD0334</t>
  </si>
  <si>
    <t>2025-10-06</t>
  </si>
  <si>
    <t>ORD0295</t>
  </si>
  <si>
    <t>ORD0274</t>
  </si>
  <si>
    <t>ORD0089</t>
  </si>
  <si>
    <t>ORD0081</t>
  </si>
  <si>
    <t>ORD0061</t>
  </si>
  <si>
    <t>ORD0985</t>
  </si>
  <si>
    <t>ORD0955</t>
  </si>
  <si>
    <t>ORD0945</t>
  </si>
  <si>
    <t>ORD0787</t>
  </si>
  <si>
    <t>ORD0709</t>
  </si>
  <si>
    <t>ORD0674</t>
  </si>
  <si>
    <t>ORD0655</t>
  </si>
  <si>
    <t>ORD0598</t>
  </si>
  <si>
    <t>ORD0594</t>
  </si>
  <si>
    <t>ORD0507</t>
  </si>
  <si>
    <t>2025-11-15</t>
  </si>
  <si>
    <t>ORD0496</t>
  </si>
  <si>
    <t>ORD0469</t>
  </si>
  <si>
    <t>ORD0387</t>
  </si>
  <si>
    <t>ORD0347</t>
  </si>
  <si>
    <t>ORD0240</t>
  </si>
  <si>
    <t>ORD0106</t>
  </si>
  <si>
    <t>2025-11-03</t>
  </si>
  <si>
    <t>ORD0055</t>
  </si>
  <si>
    <t>ORD0889</t>
  </si>
  <si>
    <t>ORD0771</t>
  </si>
  <si>
    <t>ORD0700</t>
  </si>
  <si>
    <t>ORD0654</t>
  </si>
  <si>
    <t>2025-05-01</t>
  </si>
  <si>
    <t>ORD0647</t>
  </si>
  <si>
    <t>ORD0613</t>
  </si>
  <si>
    <t>ORD0484</t>
  </si>
  <si>
    <t>ORD0428</t>
  </si>
  <si>
    <t>ORD0116</t>
  </si>
  <si>
    <t>ORD0105</t>
  </si>
  <si>
    <t>ORD0056</t>
  </si>
  <si>
    <t>ORD0032</t>
  </si>
  <si>
    <t>ORD0943</t>
  </si>
  <si>
    <t>2025-03-23</t>
  </si>
  <si>
    <t>ORD0692</t>
  </si>
  <si>
    <t>ORD0593</t>
  </si>
  <si>
    <t>ORD0570</t>
  </si>
  <si>
    <t>ORD0517</t>
  </si>
  <si>
    <t>ORD0474</t>
  </si>
  <si>
    <t>2025-03-25</t>
  </si>
  <si>
    <t>ORD0329</t>
  </si>
  <si>
    <t>ORD0326</t>
  </si>
  <si>
    <t>2025-03-03</t>
  </si>
  <si>
    <t>ORD0261</t>
  </si>
  <si>
    <t>ORD0151</t>
  </si>
  <si>
    <t>ORD0130</t>
  </si>
  <si>
    <t>ORD0099</t>
  </si>
  <si>
    <t>ORD0021</t>
  </si>
  <si>
    <t>ORD0018</t>
  </si>
  <si>
    <t>ORD0011</t>
  </si>
  <si>
    <t>ORD0964</t>
  </si>
  <si>
    <t>ORD0775</t>
  </si>
  <si>
    <t>ORD0601</t>
  </si>
  <si>
    <t>ORD0536</t>
  </si>
  <si>
    <t>ORD0498</t>
  </si>
  <si>
    <t>2025-06-05</t>
  </si>
  <si>
    <t>ORD0478</t>
  </si>
  <si>
    <t>ORD0466</t>
  </si>
  <si>
    <t>2025-06-01</t>
  </si>
  <si>
    <t>ORD0415</t>
  </si>
  <si>
    <t>ORD0375</t>
  </si>
  <si>
    <t>ORD0259</t>
  </si>
  <si>
    <t>ORD0231</t>
  </si>
  <si>
    <t>ORD0183</t>
  </si>
  <si>
    <t>ORD0139</t>
  </si>
  <si>
    <t>ORD0137</t>
  </si>
  <si>
    <t>2025-06-23</t>
  </si>
  <si>
    <t>ORD0102</t>
  </si>
  <si>
    <t>ORD0890</t>
  </si>
  <si>
    <t>2025-07-02</t>
  </si>
  <si>
    <t>ORD0875</t>
  </si>
  <si>
    <t>ORD0866</t>
  </si>
  <si>
    <t>ORD0698</t>
  </si>
  <si>
    <t>2025-07-12</t>
  </si>
  <si>
    <t>ORD0523</t>
  </si>
  <si>
    <t>ORD0516</t>
  </si>
  <si>
    <t>ORD0446</t>
  </si>
  <si>
    <t>ORD0444</t>
  </si>
  <si>
    <t>ORD0320</t>
  </si>
  <si>
    <t>ORD0307</t>
  </si>
  <si>
    <t>ORD0265</t>
  </si>
  <si>
    <t>ORD0122</t>
  </si>
  <si>
    <t>2025-07-30</t>
  </si>
  <si>
    <t>ORD0112</t>
  </si>
  <si>
    <t>ORD0078</t>
  </si>
  <si>
    <t>ORD0023</t>
  </si>
  <si>
    <t>ORD0995</t>
  </si>
  <si>
    <t>ORD0976</t>
  </si>
  <si>
    <t>ORD0957</t>
  </si>
  <si>
    <t>ORD0948</t>
  </si>
  <si>
    <t>ORD0887</t>
  </si>
  <si>
    <t>2025-01-31</t>
  </si>
  <si>
    <t>ORD0846</t>
  </si>
  <si>
    <t>ORD0588</t>
  </si>
  <si>
    <t>ORD0574</t>
  </si>
  <si>
    <t>ORD0530</t>
  </si>
  <si>
    <t>ORD0384</t>
  </si>
  <si>
    <t>ORD0364</t>
  </si>
  <si>
    <t>2025-01-12</t>
  </si>
  <si>
    <t>ORD0359</t>
  </si>
  <si>
    <t>ORD0321</t>
  </si>
  <si>
    <t>ORD0277</t>
  </si>
  <si>
    <t>ORD0260</t>
  </si>
  <si>
    <t>ORD0144</t>
  </si>
  <si>
    <t>ORD0100</t>
  </si>
  <si>
    <t>2025-02-28</t>
  </si>
  <si>
    <t>ORD0871</t>
  </si>
  <si>
    <t>ORD0816</t>
  </si>
  <si>
    <t>ORD0765</t>
  </si>
  <si>
    <t>ORD0685</t>
  </si>
  <si>
    <t>ORD0684</t>
  </si>
  <si>
    <t>ORD0636</t>
  </si>
  <si>
    <t>ORD0627</t>
  </si>
  <si>
    <t>ORD0439</t>
  </si>
  <si>
    <t>ORD0403</t>
  </si>
  <si>
    <t>ORD0264</t>
  </si>
  <si>
    <t>2025-02-01</t>
  </si>
  <si>
    <t>ORD0204</t>
  </si>
  <si>
    <t>ORD0155</t>
  </si>
  <si>
    <t>2025-12-31</t>
  </si>
  <si>
    <t>ORD0958</t>
  </si>
  <si>
    <t>ORD0944</t>
  </si>
  <si>
    <t>ORD0920</t>
  </si>
  <si>
    <t>2025-12-23</t>
  </si>
  <si>
    <t>ORD0914</t>
  </si>
  <si>
    <t>2025-12-03</t>
  </si>
  <si>
    <t>ORD0907</t>
  </si>
  <si>
    <t>ORD0839</t>
  </si>
  <si>
    <t>ORD0796</t>
  </si>
  <si>
    <t>ORD0719</t>
  </si>
  <si>
    <t>2025-12-09</t>
  </si>
  <si>
    <t>ORD0693</t>
  </si>
  <si>
    <t>ORD0686</t>
  </si>
  <si>
    <t>ORD0683</t>
  </si>
  <si>
    <t>ORD0595</t>
  </si>
  <si>
    <t>ORD0562</t>
  </si>
  <si>
    <t>ORD0556</t>
  </si>
  <si>
    <t>ORD0540</t>
  </si>
  <si>
    <t>ORD0465</t>
  </si>
  <si>
    <t>ORD0461</t>
  </si>
  <si>
    <t>2025-12-12</t>
  </si>
  <si>
    <t>ORD0421</t>
  </si>
  <si>
    <t>ORD0298</t>
  </si>
  <si>
    <t>ORD0267</t>
  </si>
  <si>
    <t>ORD0228</t>
  </si>
  <si>
    <t>ORD0212</t>
  </si>
  <si>
    <t>ORD0190</t>
  </si>
  <si>
    <t>ORD0981</t>
  </si>
  <si>
    <t>ORD0937</t>
  </si>
  <si>
    <t>ORD0897</t>
  </si>
  <si>
    <t>ORD0896</t>
  </si>
  <si>
    <t>2025-08-18</t>
  </si>
  <si>
    <t>ORD0886</t>
  </si>
  <si>
    <t>2025-08-30</t>
  </si>
  <si>
    <t>ORD0681</t>
  </si>
  <si>
    <t>2025-08-02</t>
  </si>
  <si>
    <t>ORD0632</t>
  </si>
  <si>
    <t>ORD0419</t>
  </si>
  <si>
    <t>ORD0394</t>
  </si>
  <si>
    <t>ORD0315</t>
  </si>
  <si>
    <t>ORD0294</t>
  </si>
  <si>
    <t>ORD0216</t>
  </si>
  <si>
    <t>ORD0175</t>
  </si>
  <si>
    <t>ORD0142</t>
  </si>
  <si>
    <t>ORD0050</t>
  </si>
  <si>
    <t>ORD0991</t>
  </si>
  <si>
    <t>ORD0814</t>
  </si>
  <si>
    <t>2025-04-28</t>
  </si>
  <si>
    <t>ORD0696</t>
  </si>
  <si>
    <t>ORD0680</t>
  </si>
  <si>
    <t>2025-04-27</t>
  </si>
  <si>
    <t>ORD0675</t>
  </si>
  <si>
    <t>ORD0566</t>
  </si>
  <si>
    <t>ORD0515</t>
  </si>
  <si>
    <t>ORD0355</t>
  </si>
  <si>
    <t>2025-04-14</t>
  </si>
  <si>
    <t>ORD0333</t>
  </si>
  <si>
    <t>ORD0316</t>
  </si>
  <si>
    <t>ORD0312</t>
  </si>
  <si>
    <t>ORD0304</t>
  </si>
  <si>
    <t>ORD0262</t>
  </si>
  <si>
    <t>ORD0172</t>
  </si>
  <si>
    <t>ORD0166</t>
  </si>
  <si>
    <t>ORD0077</t>
  </si>
  <si>
    <t>2025-04-08</t>
  </si>
  <si>
    <t>ORD0062</t>
  </si>
  <si>
    <t>ORD0046</t>
  </si>
  <si>
    <t>ORD0934</t>
  </si>
  <si>
    <t>ORD0798</t>
  </si>
  <si>
    <t>ORD0762</t>
  </si>
  <si>
    <t>ORD0750</t>
  </si>
  <si>
    <t>ORD0738</t>
  </si>
  <si>
    <t>ORD0723</t>
  </si>
  <si>
    <t>ORD0720</t>
  </si>
  <si>
    <t>ORD0688</t>
  </si>
  <si>
    <t>2025-09-02</t>
  </si>
  <si>
    <t>ORD0673</t>
  </si>
  <si>
    <t>ORD0644</t>
  </si>
  <si>
    <t>ORD0608</t>
  </si>
  <si>
    <t>ORD0489</t>
  </si>
  <si>
    <t>ORD0481</t>
  </si>
  <si>
    <t>ORD0396</t>
  </si>
  <si>
    <t>ORD0345</t>
  </si>
  <si>
    <t>ORD0338</t>
  </si>
  <si>
    <t>2025-09-17</t>
  </si>
  <si>
    <t>ORD0332</t>
  </si>
  <si>
    <t>ORD0025</t>
  </si>
  <si>
    <t>ORD0987</t>
  </si>
  <si>
    <t>ORD0979</t>
  </si>
  <si>
    <t>ORD0954</t>
  </si>
  <si>
    <t>ORD0843</t>
  </si>
  <si>
    <t>ORD0504</t>
  </si>
  <si>
    <t>ORD0456</t>
  </si>
  <si>
    <t>ORD0395</t>
  </si>
  <si>
    <t>ORD0273</t>
  </si>
  <si>
    <t>ORD0245</t>
  </si>
  <si>
    <t>ORD0103</t>
  </si>
  <si>
    <t>ORD0974</t>
  </si>
  <si>
    <t>ORD0970</t>
  </si>
  <si>
    <t>ORD0905</t>
  </si>
  <si>
    <t>ORD0850</t>
  </si>
  <si>
    <t>ORD0832</t>
  </si>
  <si>
    <t>ORD0791</t>
  </si>
  <si>
    <t>ORD0767</t>
  </si>
  <si>
    <t>ORD0702</t>
  </si>
  <si>
    <t>ORD0612</t>
  </si>
  <si>
    <t>ORD0592</t>
  </si>
  <si>
    <t>ORD0567</t>
  </si>
  <si>
    <t>ORD0467</t>
  </si>
  <si>
    <t>ORD0356</t>
  </si>
  <si>
    <t>ORD0291</t>
  </si>
  <si>
    <t>ORD0196</t>
  </si>
  <si>
    <t>ORD0091</t>
  </si>
  <si>
    <t>ORD0085</t>
  </si>
  <si>
    <t>ORD0926</t>
  </si>
  <si>
    <t>ORD0884</t>
  </si>
  <si>
    <t>ORD0845</t>
  </si>
  <si>
    <t>ORD0831</t>
  </si>
  <si>
    <t>ORD0676</t>
  </si>
  <si>
    <t>ORD0640</t>
  </si>
  <si>
    <t>ORD0629</t>
  </si>
  <si>
    <t>ORD0622</t>
  </si>
  <si>
    <t>ORD0609</t>
  </si>
  <si>
    <t>ORD0543</t>
  </si>
  <si>
    <t>2025-05-04</t>
  </si>
  <si>
    <t>ORD0532</t>
  </si>
  <si>
    <t>ORD0447</t>
  </si>
  <si>
    <t>ORD0445</t>
  </si>
  <si>
    <t>ORD0435</t>
  </si>
  <si>
    <t>ORD0414</t>
  </si>
  <si>
    <t>ORD0289</t>
  </si>
  <si>
    <t>ORD0287</t>
  </si>
  <si>
    <t>ORD0256</t>
  </si>
  <si>
    <t>ORD0229</t>
  </si>
  <si>
    <t>ORD0126</t>
  </si>
  <si>
    <t>ORD0039</t>
  </si>
  <si>
    <t>ORD0960</t>
  </si>
  <si>
    <t>ORD0813</t>
  </si>
  <si>
    <t>ORD0585</t>
  </si>
  <si>
    <t>ORD0573</t>
  </si>
  <si>
    <t>ORD0511</t>
  </si>
  <si>
    <t>ORD0427</t>
  </si>
  <si>
    <t>ORD0323</t>
  </si>
  <si>
    <t>ORD0300</t>
  </si>
  <si>
    <t>ORD0255</t>
  </si>
  <si>
    <t>ORD0247</t>
  </si>
  <si>
    <t>ORD0197</t>
  </si>
  <si>
    <t>ORD0193</t>
  </si>
  <si>
    <t>2025-03-21</t>
  </si>
  <si>
    <t>ORD0185</t>
  </si>
  <si>
    <t>ORD0143</t>
  </si>
  <si>
    <t>ORD0125</t>
  </si>
  <si>
    <t>ORD0082</t>
  </si>
  <si>
    <t>ORD0069</t>
  </si>
  <si>
    <t>2025-03-16</t>
  </si>
  <si>
    <t>ORD0045</t>
  </si>
  <si>
    <t>ORD0036</t>
  </si>
  <si>
    <t>ORD0785</t>
  </si>
  <si>
    <t>ORD0781</t>
  </si>
  <si>
    <t>2025-06-13</t>
  </si>
  <si>
    <t>ORD0780</t>
  </si>
  <si>
    <t>ORD0724</t>
  </si>
  <si>
    <t>ORD0599</t>
  </si>
  <si>
    <t>ORD0579</t>
  </si>
  <si>
    <t>ORD0569</t>
  </si>
  <si>
    <t>ORD0564</t>
  </si>
  <si>
    <t>ORD0548</t>
  </si>
  <si>
    <t>ORD0533</t>
  </si>
  <si>
    <t>ORD0495</t>
  </si>
  <si>
    <t>ORD0413</t>
  </si>
  <si>
    <t>ORD0404</t>
  </si>
  <si>
    <t>ORD0370</t>
  </si>
  <si>
    <t>ORD0281</t>
  </si>
  <si>
    <t>ORD0278</t>
  </si>
  <si>
    <t>ORD0253</t>
  </si>
  <si>
    <t>ORD0252</t>
  </si>
  <si>
    <t>ORD0238</t>
  </si>
  <si>
    <t>ORD0090</t>
  </si>
  <si>
    <t>2025-06-19</t>
  </si>
  <si>
    <t>ORD0074</t>
  </si>
  <si>
    <t>ORD0956</t>
  </si>
  <si>
    <t>ORD0951</t>
  </si>
  <si>
    <t>ORD0935</t>
  </si>
  <si>
    <t>ORD0803</t>
  </si>
  <si>
    <t>ORD0758</t>
  </si>
  <si>
    <t>ORD0730</t>
  </si>
  <si>
    <t>ORD0490</t>
  </si>
  <si>
    <t>ORD0434</t>
  </si>
  <si>
    <t>ORD0412</t>
  </si>
  <si>
    <t>ORD0411</t>
  </si>
  <si>
    <t>ORD0340</t>
  </si>
  <si>
    <t>ORD0325</t>
  </si>
  <si>
    <t>ORD0319</t>
  </si>
  <si>
    <t>ORD0292</t>
  </si>
  <si>
    <t>ORD0210</t>
  </si>
  <si>
    <t>2025-07-23</t>
  </si>
  <si>
    <t>ORD0187</t>
  </si>
  <si>
    <t>ORD0132</t>
  </si>
  <si>
    <t>ORD0006</t>
  </si>
  <si>
    <t>ORD0996</t>
  </si>
  <si>
    <t>ORD0990</t>
  </si>
  <si>
    <t>ORD0962</t>
  </si>
  <si>
    <t>2025-01-28</t>
  </si>
  <si>
    <t>ORD0895</t>
  </si>
  <si>
    <t>ORD0874</t>
  </si>
  <si>
    <t>ORD0853</t>
  </si>
  <si>
    <t>ORD0733</t>
  </si>
  <si>
    <t>ORD0691</t>
  </si>
  <si>
    <t>ORD0645</t>
  </si>
  <si>
    <t>ORD0521</t>
  </si>
  <si>
    <t>ORD0432</t>
  </si>
  <si>
    <t>ORD0266</t>
  </si>
  <si>
    <t>ORD0263</t>
  </si>
  <si>
    <t>ORD0209</t>
  </si>
  <si>
    <t>2025-01-29</t>
  </si>
  <si>
    <t>ORD0182</t>
  </si>
  <si>
    <t>ORD0115</t>
  </si>
  <si>
    <t>ORD0084</t>
  </si>
  <si>
    <t>ORD0037</t>
  </si>
  <si>
    <t>ORD0877</t>
  </si>
  <si>
    <t>ORD0849</t>
  </si>
  <si>
    <t>2025-02-12</t>
  </si>
  <si>
    <t>ORD0821</t>
  </si>
  <si>
    <t>ORD0805</t>
  </si>
  <si>
    <t>ORD0773</t>
  </si>
  <si>
    <t>ORD0752</t>
  </si>
  <si>
    <t>ORD0687</t>
  </si>
  <si>
    <t>ORD0642</t>
  </si>
  <si>
    <t>2025-02-09</t>
  </si>
  <si>
    <t>ORD0462</t>
  </si>
  <si>
    <t>ORD0035</t>
  </si>
  <si>
    <t>ORD0009</t>
  </si>
  <si>
    <t>ORD1000</t>
  </si>
  <si>
    <t>ORD0997</t>
  </si>
  <si>
    <t>ORD0988</t>
  </si>
  <si>
    <t>ORD0965</t>
  </si>
  <si>
    <t>2025-12-10</t>
  </si>
  <si>
    <t>ORD0824</t>
  </si>
  <si>
    <t>ORD0818</t>
  </si>
  <si>
    <t>ORD0794</t>
  </si>
  <si>
    <t>ORD0793</t>
  </si>
  <si>
    <t>ORD0779</t>
  </si>
  <si>
    <t>2025-12-26</t>
  </si>
  <si>
    <t>ORD0697</t>
  </si>
  <si>
    <t>ORD0671</t>
  </si>
  <si>
    <t>ORD0619</t>
  </si>
  <si>
    <t>ORD0576</t>
  </si>
  <si>
    <t>ORD0378</t>
  </si>
  <si>
    <t>ORD0352</t>
  </si>
  <si>
    <t>ORD0337</t>
  </si>
  <si>
    <t>ORD0318</t>
  </si>
  <si>
    <t>ORD0236</t>
  </si>
  <si>
    <t>ORD0104</t>
  </si>
  <si>
    <t>ORD0040</t>
  </si>
  <si>
    <t>ORD0024</t>
  </si>
  <si>
    <t>ORD0998</t>
  </si>
  <si>
    <t>ORD0891</t>
  </si>
  <si>
    <t>ORD0811</t>
  </si>
  <si>
    <t>ORD0663</t>
  </si>
  <si>
    <t>ORD0660</t>
  </si>
  <si>
    <t>ORD0657</t>
  </si>
  <si>
    <t>2025-08-10</t>
  </si>
  <si>
    <t>ORD0637</t>
  </si>
  <si>
    <t>ORD0600</t>
  </si>
  <si>
    <t>ORD0546</t>
  </si>
  <si>
    <t>ORD0509</t>
  </si>
  <si>
    <t>ORD0476</t>
  </si>
  <si>
    <t>ORD0455</t>
  </si>
  <si>
    <t>ORD0424</t>
  </si>
  <si>
    <t>ORD0366</t>
  </si>
  <si>
    <t>ORD0272</t>
  </si>
  <si>
    <t>ORD0180</t>
  </si>
  <si>
    <t>ORD0179</t>
  </si>
  <si>
    <t>ORD0098</t>
  </si>
  <si>
    <t>ORD0076</t>
  </si>
  <si>
    <t>ORD0999</t>
  </si>
  <si>
    <t>ORD0971</t>
  </si>
  <si>
    <t>ORD0950</t>
  </si>
  <si>
    <t>ORD0917</t>
  </si>
  <si>
    <t>ORD0876</t>
  </si>
  <si>
    <t>ORD0847</t>
  </si>
  <si>
    <t>ORD0804</t>
  </si>
  <si>
    <t>ORD0749</t>
  </si>
  <si>
    <t>ORD0712</t>
  </si>
  <si>
    <t>2025-04-18</t>
  </si>
  <si>
    <t>ORD0677</t>
  </si>
  <si>
    <t>ORD0650</t>
  </si>
  <si>
    <t>ORD0638</t>
  </si>
  <si>
    <t>ORD0561</t>
  </si>
  <si>
    <t>ORD0518</t>
  </si>
  <si>
    <t>2025-04-11</t>
  </si>
  <si>
    <t>ORD0330</t>
  </si>
  <si>
    <t>ORD0230</t>
  </si>
  <si>
    <t>ORD0178</t>
  </si>
  <si>
    <t>ORD0120</t>
  </si>
  <si>
    <t>ORD0096</t>
  </si>
  <si>
    <t>ORD0068</t>
  </si>
  <si>
    <t>Profit Margin</t>
  </si>
  <si>
    <t>Profit</t>
  </si>
  <si>
    <t>Cost</t>
  </si>
  <si>
    <t>Revenue</t>
  </si>
  <si>
    <t>Discount %</t>
  </si>
  <si>
    <t>Unit Price</t>
  </si>
  <si>
    <t>Quantity</t>
  </si>
  <si>
    <t>Category</t>
  </si>
  <si>
    <t>Product</t>
  </si>
  <si>
    <t xml:space="preserve">Customer ID </t>
  </si>
  <si>
    <t>Salesperson</t>
  </si>
  <si>
    <t>Region</t>
  </si>
  <si>
    <t>Quarter</t>
  </si>
  <si>
    <t>Month</t>
  </si>
  <si>
    <t>Order Date</t>
  </si>
  <si>
    <t>Order ID</t>
  </si>
  <si>
    <t>FreshMart Sales Performance Dashboard – 2025</t>
  </si>
  <si>
    <t>Insights</t>
  </si>
  <si>
    <t>► Electronics generated over 85% of the company's total profit.</t>
  </si>
  <si>
    <t>► East region generates the highest Revenue and Profit.</t>
  </si>
  <si>
    <t>► Laptop contributed 56.63% of the company's total profit despite having only 93 orders.</t>
  </si>
  <si>
    <t>► Discounting is roughly flat across products (~10%), so profit differences are driven by product strength,
     not discount depth.</t>
  </si>
  <si>
    <t>► Top selling products by volume were Mouse, Headphones, Desk, Backpack, and Phone.</t>
  </si>
  <si>
    <t>► Neha was the top-performing salesperson, recording the highest number of orders (191),
     and generating the highest total profit (₹24.82 lakh).</t>
  </si>
  <si>
    <t>► Monthly profit peaked in May at approximately ₹1.4M.</t>
  </si>
  <si>
    <t>Business Recommendations</t>
  </si>
  <si>
    <t>► Double down on Electronics and East region — they're the clear profit engines
     and deserve priority in inventory and marketing.</t>
  </si>
  <si>
    <t>► Reassess discount strategy on low performers (Desk, Bottle, Notebook, Pen) 
     and replicate Neha's sales approach across the team.</t>
  </si>
  <si>
    <t>► Prepare for seasonal demand around May and protect current strategy on top earners (Laptop, 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</si>
</sst>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4009]\ #,##0.00;[$₹-4009]\ \-#,##0.00"/>
  </numFmts>
  <fonts count="8" x14ac:knownFonts="1">
    <font>
      <sz val="11"/>
      <color theme="1"/>
      <name val="Calibri"/>
      <family val="2"/>
      <scheme val="minor"/>
    </font>
    <font>
      <sz val="11"/>
      <color theme="1"/>
      <name val="Calibri"/>
      <family val="2"/>
      <scheme val="minor"/>
    </font>
    <font>
      <sz val="11"/>
      <name val="Calibri"/>
      <family val="2"/>
      <scheme val="minor"/>
    </font>
    <font>
      <b/>
      <sz val="20"/>
      <color theme="2" tint="-9.9978637043366805E-2"/>
      <name val="Times New Roman"/>
      <family val="1"/>
    </font>
    <font>
      <sz val="11"/>
      <color theme="7" tint="-0.249977111117893"/>
      <name val="Calibri"/>
      <family val="2"/>
      <scheme val="minor"/>
    </font>
    <font>
      <b/>
      <sz val="18"/>
      <color theme="2" tint="-9.9978637043366805E-2"/>
      <name val="Times New Roman"/>
      <family val="1"/>
    </font>
    <font>
      <sz val="13"/>
      <color theme="1"/>
      <name val="Times New Roman"/>
      <family val="1"/>
    </font>
    <font>
      <sz val="11"/>
      <color theme="1"/>
      <name val="Calibri"/>
      <family val="2"/>
    </font>
  </fonts>
  <fills count="5">
    <fill>
      <patternFill patternType="none"/>
    </fill>
    <fill>
      <patternFill patternType="gray125"/>
    </fill>
    <fill>
      <patternFill patternType="solid">
        <fgColor rgb="FFFFFF00"/>
        <bgColor indexed="64"/>
      </patternFill>
    </fill>
    <fill>
      <patternFill patternType="solid">
        <fgColor theme="5" tint="-0.249977111117893"/>
        <bgColor indexed="64"/>
      </patternFill>
    </fill>
    <fill>
      <patternFill patternType="solid">
        <fgColor theme="0" tint="-4.9989318521683403E-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10" fontId="0" fillId="0" borderId="0" xfId="2" applyNumberFormat="1" applyFont="1"/>
    <xf numFmtId="44" fontId="0" fillId="0" borderId="0" xfId="1" applyFont="1"/>
    <xf numFmtId="164" fontId="0" fillId="0" borderId="0" xfId="0" applyNumberFormat="1"/>
    <xf numFmtId="1" fontId="0" fillId="0" borderId="0" xfId="0" applyNumberFormat="1"/>
    <xf numFmtId="14" fontId="0" fillId="0" borderId="0" xfId="0" applyNumberFormat="1"/>
    <xf numFmtId="0" fontId="2" fillId="2" borderId="0" xfId="0" applyFont="1" applyFill="1"/>
    <xf numFmtId="0" fontId="3" fillId="3" borderId="0" xfId="0" applyFont="1" applyFill="1" applyAlignment="1">
      <alignment horizontal="center" vertical="center"/>
    </xf>
    <xf numFmtId="0" fontId="0" fillId="3" borderId="0" xfId="0" applyFill="1"/>
    <xf numFmtId="0" fontId="0" fillId="4" borderId="0" xfId="0" applyFill="1"/>
    <xf numFmtId="0" fontId="4" fillId="4" borderId="0" xfId="0" applyFont="1" applyFill="1"/>
    <xf numFmtId="0" fontId="5" fillId="3" borderId="0" xfId="0" applyFont="1" applyFill="1" applyAlignment="1">
      <alignment horizontal="left" vertical="center"/>
    </xf>
    <xf numFmtId="0" fontId="6" fillId="4" borderId="0" xfId="0" applyFont="1" applyFill="1" applyAlignment="1">
      <alignment horizontal="left" vertical="center"/>
    </xf>
    <xf numFmtId="0" fontId="7" fillId="4" borderId="0" xfId="0" applyFont="1" applyFill="1" applyAlignment="1">
      <alignment horizontal="left" vertical="center"/>
    </xf>
    <xf numFmtId="0" fontId="6" fillId="4" borderId="0" xfId="0" applyFont="1" applyFill="1" applyAlignment="1">
      <alignment horizontal="left" vertical="center" wrapText="1"/>
    </xf>
  </cellXfs>
  <cellStyles count="3">
    <cellStyle name="Currency" xfId="1" builtinId="4"/>
    <cellStyle name="Normal" xfId="0" builtinId="0"/>
    <cellStyle name="Percent" xfId="2" builtinId="5"/>
  </cellStyles>
  <dxfs count="10">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4" formatCode="[$₹-4009]\ #,##0.00;[$₹-4009]\ \-#,##0.00"/>
    </dxf>
    <dxf>
      <numFmt numFmtId="1" formatCode="0"/>
    </dxf>
    <dxf>
      <numFmt numFmtId="19" formatCode="dd/mm/yyyy"/>
    </dxf>
    <dxf>
      <numFmt numFmtId="19" formatCode="dd/mm/yyyy"/>
    </dxf>
    <dxf>
      <numFmt numFmtId="19" formatCode="dd/mm/yyyy"/>
    </dxf>
    <dxf>
      <font>
        <b val="0"/>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r>
              <a:rPr lang="en-IN" b="0" baseline="0">
                <a:solidFill>
                  <a:schemeClr val="accent2">
                    <a:lumMod val="75000"/>
                  </a:schemeClr>
                </a:solidFill>
                <a:latin typeface="Times New Roman" panose="02020603050405020304" pitchFamily="18" charset="0"/>
                <a:cs typeface="Times New Roman" panose="02020603050405020304" pitchFamily="18" charset="0"/>
              </a:rPr>
              <a:t>Top Prducts: Profit &amp; Orders</a:t>
            </a:r>
          </a:p>
        </c:rich>
      </c:tx>
      <c:layout>
        <c:manualLayout>
          <c:xMode val="edge"/>
          <c:yMode val="edge"/>
          <c:x val="2.6610020344532909E-3"/>
          <c:y val="1.1651673854370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83650195843743"/>
          <c:y val="0.17171278972932846"/>
          <c:w val="0.80935184816432149"/>
          <c:h val="0.5849992709244678"/>
        </c:manualLayout>
      </c:layout>
      <c:barChart>
        <c:barDir val="col"/>
        <c:grouping val="clustered"/>
        <c:varyColors val="0"/>
        <c:ser>
          <c:idx val="0"/>
          <c:order val="0"/>
          <c:tx>
            <c:v>Profits</c:v>
          </c:tx>
          <c:spPr>
            <a:solidFill>
              <a:schemeClr val="accent1"/>
            </a:solidFill>
            <a:ln>
              <a:noFill/>
            </a:ln>
            <a:effectLst/>
          </c:spPr>
          <c:invertIfNegative val="0"/>
          <c:cat>
            <c:strLit>
              <c:ptCount val="10"/>
              <c:pt idx="0">
                <c:v>Laptop</c:v>
              </c:pt>
              <c:pt idx="1">
                <c:v>Phone</c:v>
              </c:pt>
              <c:pt idx="2">
                <c:v>Desk</c:v>
              </c:pt>
              <c:pt idx="3">
                <c:v>Chair</c:v>
              </c:pt>
              <c:pt idx="4">
                <c:v>Headphones</c:v>
              </c:pt>
              <c:pt idx="5">
                <c:v>Backpack</c:v>
              </c:pt>
              <c:pt idx="6">
                <c:v>Mouse</c:v>
              </c:pt>
              <c:pt idx="7">
                <c:v>Bottle</c:v>
              </c:pt>
              <c:pt idx="8">
                <c:v>Notebook</c:v>
              </c:pt>
              <c:pt idx="9">
                <c:v>Pen</c:v>
              </c:pt>
            </c:strLit>
          </c:cat>
          <c:val>
            <c:numLit>
              <c:formatCode>General</c:formatCode>
              <c:ptCount val="10"/>
              <c:pt idx="0">
                <c:v>7178542.049999998</c:v>
              </c:pt>
              <c:pt idx="1">
                <c:v>3163740.2800000003</c:v>
              </c:pt>
              <c:pt idx="2">
                <c:v>1075044.3899999999</c:v>
              </c:pt>
              <c:pt idx="3">
                <c:v>543410.91999999993</c:v>
              </c:pt>
              <c:pt idx="4">
                <c:v>333062.17000000022</c:v>
              </c:pt>
              <c:pt idx="5">
                <c:v>186654.46999999994</c:v>
              </c:pt>
              <c:pt idx="6">
                <c:v>121969.00999999998</c:v>
              </c:pt>
              <c:pt idx="7">
                <c:v>57454.89999999998</c:v>
              </c:pt>
              <c:pt idx="8">
                <c:v>12024.97</c:v>
              </c:pt>
              <c:pt idx="9">
                <c:v>3433.6300000000006</c:v>
              </c:pt>
            </c:numLit>
          </c:val>
          <c:extLst>
            <c:ext xmlns:c16="http://schemas.microsoft.com/office/drawing/2014/chart" uri="{C3380CC4-5D6E-409C-BE32-E72D297353CC}">
              <c16:uniqueId val="{00000000-8506-4440-B0E6-4ED99CC77B4F}"/>
            </c:ext>
          </c:extLst>
        </c:ser>
        <c:dLbls>
          <c:showLegendKey val="0"/>
          <c:showVal val="0"/>
          <c:showCatName val="0"/>
          <c:showSerName val="0"/>
          <c:showPercent val="0"/>
          <c:showBubbleSize val="0"/>
        </c:dLbls>
        <c:gapWidth val="219"/>
        <c:overlap val="-27"/>
        <c:axId val="1405049728"/>
        <c:axId val="1749476816"/>
      </c:barChart>
      <c:lineChart>
        <c:grouping val="standard"/>
        <c:varyColors val="0"/>
        <c:ser>
          <c:idx val="1"/>
          <c:order val="1"/>
          <c:tx>
            <c:v>Orders</c:v>
          </c:tx>
          <c:spPr>
            <a:ln w="28575" cap="rnd">
              <a:solidFill>
                <a:schemeClr val="accent2"/>
              </a:solidFill>
              <a:round/>
            </a:ln>
            <a:effectLst/>
          </c:spPr>
          <c:marker>
            <c:symbol val="none"/>
          </c:marker>
          <c:cat>
            <c:strLit>
              <c:ptCount val="10"/>
              <c:pt idx="0">
                <c:v>Laptop</c:v>
              </c:pt>
              <c:pt idx="1">
                <c:v>Phone</c:v>
              </c:pt>
              <c:pt idx="2">
                <c:v>Desk</c:v>
              </c:pt>
              <c:pt idx="3">
                <c:v>Chair</c:v>
              </c:pt>
              <c:pt idx="4">
                <c:v>Headphones</c:v>
              </c:pt>
              <c:pt idx="5">
                <c:v>Backpack</c:v>
              </c:pt>
              <c:pt idx="6">
                <c:v>Mouse</c:v>
              </c:pt>
              <c:pt idx="7">
                <c:v>Bottle</c:v>
              </c:pt>
              <c:pt idx="8">
                <c:v>Notebook</c:v>
              </c:pt>
              <c:pt idx="9">
                <c:v>Pen</c:v>
              </c:pt>
            </c:strLit>
          </c:cat>
          <c:val>
            <c:numLit>
              <c:formatCode>General</c:formatCode>
              <c:ptCount val="10"/>
              <c:pt idx="0">
                <c:v>93</c:v>
              </c:pt>
              <c:pt idx="1">
                <c:v>102</c:v>
              </c:pt>
              <c:pt idx="2">
                <c:v>101</c:v>
              </c:pt>
              <c:pt idx="3">
                <c:v>99</c:v>
              </c:pt>
              <c:pt idx="4">
                <c:v>106</c:v>
              </c:pt>
              <c:pt idx="5">
                <c:v>100</c:v>
              </c:pt>
              <c:pt idx="6">
                <c:v>112</c:v>
              </c:pt>
              <c:pt idx="7">
                <c:v>99</c:v>
              </c:pt>
              <c:pt idx="8">
                <c:v>88</c:v>
              </c:pt>
              <c:pt idx="9">
                <c:v>100</c:v>
              </c:pt>
            </c:numLit>
          </c:val>
          <c:smooth val="0"/>
          <c:extLst>
            <c:ext xmlns:c16="http://schemas.microsoft.com/office/drawing/2014/chart" uri="{C3380CC4-5D6E-409C-BE32-E72D297353CC}">
              <c16:uniqueId val="{00000001-8506-4440-B0E6-4ED99CC77B4F}"/>
            </c:ext>
          </c:extLst>
        </c:ser>
        <c:dLbls>
          <c:showLegendKey val="0"/>
          <c:showVal val="0"/>
          <c:showCatName val="0"/>
          <c:showSerName val="0"/>
          <c:showPercent val="0"/>
          <c:showBubbleSize val="0"/>
        </c:dLbls>
        <c:marker val="1"/>
        <c:smooth val="0"/>
        <c:axId val="1405031632"/>
        <c:axId val="1749472496"/>
      </c:lineChart>
      <c:catAx>
        <c:axId val="1405049728"/>
        <c:scaling>
          <c:orientation val="minMax"/>
        </c:scaling>
        <c:delete val="0"/>
        <c:axPos val="b"/>
        <c:numFmt formatCode="General" sourceLinked="1"/>
        <c:majorTickMark val="none"/>
        <c:minorTickMark val="none"/>
        <c:tickLblPos val="nextTo"/>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5400000" spcFirstLastPara="1" vertOverflow="ellipsis" wrap="square" anchor="b"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49476816"/>
        <c:crosses val="autoZero"/>
        <c:auto val="1"/>
        <c:lblAlgn val="ctr"/>
        <c:lblOffset val="100"/>
        <c:noMultiLvlLbl val="0"/>
      </c:catAx>
      <c:valAx>
        <c:axId val="1749476816"/>
        <c:scaling>
          <c:orientation val="minMax"/>
        </c:scaling>
        <c:delete val="0"/>
        <c:axPos val="l"/>
        <c:numFmt formatCode="&quot;₹&quot;\ #,##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05049728"/>
        <c:crosses val="autoZero"/>
        <c:crossBetween val="between"/>
      </c:valAx>
      <c:valAx>
        <c:axId val="17494724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05031632"/>
        <c:crosses val="max"/>
        <c:crossBetween val="between"/>
      </c:valAx>
      <c:catAx>
        <c:axId val="1405031632"/>
        <c:scaling>
          <c:orientation val="minMax"/>
        </c:scaling>
        <c:delete val="1"/>
        <c:axPos val="b"/>
        <c:numFmt formatCode="General" sourceLinked="1"/>
        <c:majorTickMark val="out"/>
        <c:minorTickMark val="none"/>
        <c:tickLblPos val="nextTo"/>
        <c:crossAx val="1749472496"/>
        <c:crosses val="autoZero"/>
        <c:auto val="1"/>
        <c:lblAlgn val="ctr"/>
        <c:lblOffset val="100"/>
        <c:noMultiLvlLbl val="0"/>
      </c:cat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0.45313801399825021"/>
          <c:y val="3.782334499854182E-2"/>
          <c:w val="0.51352865266841641"/>
          <c:h val="0.109954797317002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Times New Roman" panose="02020603050405020304" pitchFamily="18" charset="0"/>
                <a:ea typeface="+mn-ea"/>
                <a:cs typeface="Times New Roman" panose="02020603050405020304" pitchFamily="18" charset="0"/>
              </a:defRPr>
            </a:pPr>
            <a:r>
              <a:rPr lang="en-IN" sz="1400" b="0" i="0" u="none" strike="noStrike" baseline="0">
                <a:solidFill>
                  <a:schemeClr val="accent2">
                    <a:lumMod val="75000"/>
                  </a:schemeClr>
                </a:solidFill>
                <a:latin typeface="Times New Roman" panose="02020603050405020304" pitchFamily="18" charset="0"/>
                <a:cs typeface="Times New Roman" panose="02020603050405020304" pitchFamily="18" charset="0"/>
              </a:rPr>
              <a:t>Salesperson Performance</a:t>
            </a:r>
            <a:endParaRPr lang="en-IN" b="0" baseline="0">
              <a:solidFill>
                <a:schemeClr val="accent2">
                  <a:lumMod val="75000"/>
                </a:schemeClr>
              </a:solidFill>
              <a:latin typeface="Times New Roman" panose="02020603050405020304" pitchFamily="18" charset="0"/>
              <a:cs typeface="Times New Roman" panose="02020603050405020304" pitchFamily="18" charset="0"/>
            </a:endParaRPr>
          </a:p>
        </c:rich>
      </c:tx>
      <c:layout>
        <c:manualLayout>
          <c:xMode val="edge"/>
          <c:yMode val="edge"/>
          <c:x val="2.685966673741799E-3"/>
          <c:y val="1.48107714041670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9763999263382"/>
          <c:y val="0.15918454935622317"/>
          <c:w val="0.7534757931617394"/>
          <c:h val="0.74125206988611403"/>
        </c:manualLayout>
      </c:layout>
      <c:barChart>
        <c:barDir val="col"/>
        <c:grouping val="clustered"/>
        <c:varyColors val="0"/>
        <c:ser>
          <c:idx val="0"/>
          <c:order val="0"/>
          <c:tx>
            <c:v>Orders</c:v>
          </c:tx>
          <c:spPr>
            <a:solidFill>
              <a:schemeClr val="accent1"/>
            </a:solidFill>
            <a:ln>
              <a:noFill/>
            </a:ln>
            <a:effectLst/>
          </c:spPr>
          <c:invertIfNegative val="0"/>
          <c:cat>
            <c:strLit>
              <c:ptCount val="6"/>
              <c:pt idx="0">
                <c:v>Neha</c:v>
              </c:pt>
              <c:pt idx="1">
                <c:v>Arjun</c:v>
              </c:pt>
              <c:pt idx="2">
                <c:v>Priya</c:v>
              </c:pt>
              <c:pt idx="3">
                <c:v>Karan</c:v>
              </c:pt>
              <c:pt idx="4">
                <c:v>Aisha</c:v>
              </c:pt>
              <c:pt idx="5">
                <c:v>Rahul</c:v>
              </c:pt>
            </c:strLit>
          </c:cat>
          <c:val>
            <c:numLit>
              <c:formatCode>General</c:formatCode>
              <c:ptCount val="6"/>
              <c:pt idx="0">
                <c:v>191</c:v>
              </c:pt>
              <c:pt idx="1">
                <c:v>166</c:v>
              </c:pt>
              <c:pt idx="2">
                <c:v>168</c:v>
              </c:pt>
              <c:pt idx="3">
                <c:v>167</c:v>
              </c:pt>
              <c:pt idx="4">
                <c:v>160</c:v>
              </c:pt>
              <c:pt idx="5">
                <c:v>148</c:v>
              </c:pt>
            </c:numLit>
          </c:val>
          <c:extLst>
            <c:ext xmlns:c16="http://schemas.microsoft.com/office/drawing/2014/chart" uri="{C3380CC4-5D6E-409C-BE32-E72D297353CC}">
              <c16:uniqueId val="{00000000-6F52-486E-BFB4-9A5F14D7FD60}"/>
            </c:ext>
          </c:extLst>
        </c:ser>
        <c:dLbls>
          <c:showLegendKey val="0"/>
          <c:showVal val="0"/>
          <c:showCatName val="0"/>
          <c:showSerName val="0"/>
          <c:showPercent val="0"/>
          <c:showBubbleSize val="0"/>
        </c:dLbls>
        <c:gapWidth val="219"/>
        <c:overlap val="-27"/>
        <c:axId val="1750114880"/>
        <c:axId val="1749504656"/>
      </c:barChart>
      <c:lineChart>
        <c:grouping val="standard"/>
        <c:varyColors val="0"/>
        <c:ser>
          <c:idx val="1"/>
          <c:order val="1"/>
          <c:tx>
            <c:v>Profits</c:v>
          </c:tx>
          <c:spPr>
            <a:ln w="28575" cap="rnd">
              <a:solidFill>
                <a:schemeClr val="accent2"/>
              </a:solidFill>
              <a:round/>
            </a:ln>
            <a:effectLst/>
          </c:spPr>
          <c:marker>
            <c:symbol val="none"/>
          </c:marker>
          <c:cat>
            <c:strLit>
              <c:ptCount val="6"/>
              <c:pt idx="0">
                <c:v>Neha</c:v>
              </c:pt>
              <c:pt idx="1">
                <c:v>Arjun</c:v>
              </c:pt>
              <c:pt idx="2">
                <c:v>Priya</c:v>
              </c:pt>
              <c:pt idx="3">
                <c:v>Karan</c:v>
              </c:pt>
              <c:pt idx="4">
                <c:v>Aisha</c:v>
              </c:pt>
              <c:pt idx="5">
                <c:v>Rahul</c:v>
              </c:pt>
            </c:strLit>
          </c:cat>
          <c:val>
            <c:numLit>
              <c:formatCode>General</c:formatCode>
              <c:ptCount val="6"/>
              <c:pt idx="0">
                <c:v>2482050.1099999989</c:v>
              </c:pt>
              <c:pt idx="1">
                <c:v>2401422.5299999993</c:v>
              </c:pt>
              <c:pt idx="2">
                <c:v>2301171.9400000004</c:v>
              </c:pt>
              <c:pt idx="3">
                <c:v>2064462.4299999988</c:v>
              </c:pt>
              <c:pt idx="4">
                <c:v>1780801</c:v>
              </c:pt>
              <c:pt idx="5">
                <c:v>1645428.7799999996</c:v>
              </c:pt>
            </c:numLit>
          </c:val>
          <c:smooth val="0"/>
          <c:extLst>
            <c:ext xmlns:c16="http://schemas.microsoft.com/office/drawing/2014/chart" uri="{C3380CC4-5D6E-409C-BE32-E72D297353CC}">
              <c16:uniqueId val="{00000001-6F52-486E-BFB4-9A5F14D7FD60}"/>
            </c:ext>
          </c:extLst>
        </c:ser>
        <c:dLbls>
          <c:showLegendKey val="0"/>
          <c:showVal val="0"/>
          <c:showCatName val="0"/>
          <c:showSerName val="0"/>
          <c:showPercent val="0"/>
          <c:showBubbleSize val="0"/>
        </c:dLbls>
        <c:marker val="1"/>
        <c:smooth val="0"/>
        <c:axId val="1915529376"/>
        <c:axId val="1749509456"/>
      </c:lineChart>
      <c:catAx>
        <c:axId val="191552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49509456"/>
        <c:crosses val="autoZero"/>
        <c:auto val="1"/>
        <c:lblAlgn val="ctr"/>
        <c:lblOffset val="100"/>
        <c:noMultiLvlLbl val="0"/>
      </c:catAx>
      <c:valAx>
        <c:axId val="1749509456"/>
        <c:scaling>
          <c:orientation val="minMax"/>
        </c:scaling>
        <c:delete val="0"/>
        <c:axPos val="l"/>
        <c:numFmt formatCode="&quot;₹&quot;\ #,##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15529376"/>
        <c:crosses val="autoZero"/>
        <c:crossBetween val="between"/>
      </c:valAx>
      <c:valAx>
        <c:axId val="17495046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50114880"/>
        <c:crosses val="max"/>
        <c:crossBetween val="between"/>
      </c:valAx>
      <c:catAx>
        <c:axId val="1750114880"/>
        <c:scaling>
          <c:orientation val="minMax"/>
        </c:scaling>
        <c:delete val="1"/>
        <c:axPos val="b"/>
        <c:numFmt formatCode="General" sourceLinked="1"/>
        <c:majorTickMark val="out"/>
        <c:minorTickMark val="none"/>
        <c:tickLblPos val="nextTo"/>
        <c:crossAx val="1749504656"/>
        <c:crosses val="autoZero"/>
        <c:auto val="1"/>
        <c:lblAlgn val="ctr"/>
        <c:lblOffset val="100"/>
        <c:noMultiLvlLbl val="0"/>
      </c:catAx>
      <c:spPr>
        <a:noFill/>
        <a:ln>
          <a:noFill/>
        </a:ln>
        <a:effectLst/>
      </c:spPr>
    </c:plotArea>
    <c:legend>
      <c:legendPos val="r"/>
      <c:layout>
        <c:manualLayout>
          <c:xMode val="edge"/>
          <c:yMode val="edge"/>
          <c:x val="0.56546329461041844"/>
          <c:y val="2.1846790225575379E-2"/>
          <c:w val="0.434536406931743"/>
          <c:h val="8.832615297713873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b="0">
                <a:solidFill>
                  <a:schemeClr val="accent2">
                    <a:lumMod val="75000"/>
                  </a:schemeClr>
                </a:solidFill>
                <a:latin typeface="Times New Roman" panose="02020603050405020304" pitchFamily="18" charset="0"/>
                <a:cs typeface="Times New Roman" panose="02020603050405020304" pitchFamily="18" charset="0"/>
              </a:rPr>
              <a:t>Region:</a:t>
            </a:r>
            <a:r>
              <a:rPr lang="en-IN" b="0" baseline="0">
                <a:solidFill>
                  <a:schemeClr val="accent2">
                    <a:lumMod val="75000"/>
                  </a:schemeClr>
                </a:solidFill>
                <a:latin typeface="Times New Roman" panose="02020603050405020304" pitchFamily="18" charset="0"/>
                <a:cs typeface="Times New Roman" panose="02020603050405020304" pitchFamily="18" charset="0"/>
              </a:rPr>
              <a:t> Revenue vs. Profit</a:t>
            </a:r>
          </a:p>
        </c:rich>
      </c:tx>
      <c:layout>
        <c:manualLayout>
          <c:xMode val="edge"/>
          <c:yMode val="edge"/>
          <c:x val="2.5435165204196505E-3"/>
          <c:y val="8.33403920723908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solidFill>
              <a:schemeClr val="accent2">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3207829714408"/>
          <c:y val="0.17188031945657206"/>
          <c:w val="0.81115245327995356"/>
          <c:h val="0.74378632738423855"/>
        </c:manualLayout>
      </c:layout>
      <c:barChart>
        <c:barDir val="col"/>
        <c:grouping val="clustered"/>
        <c:varyColors val="0"/>
        <c:ser>
          <c:idx val="1"/>
          <c:order val="1"/>
          <c:tx>
            <c:v>Profits</c:v>
          </c:tx>
          <c:spPr>
            <a:solidFill>
              <a:schemeClr val="accent1">
                <a:lumMod val="75000"/>
              </a:schemeClr>
            </a:solidFill>
            <a:ln>
              <a:solidFill>
                <a:schemeClr val="accent2">
                  <a:lumMod val="20000"/>
                  <a:lumOff val="80000"/>
                </a:schemeClr>
              </a:solidFill>
            </a:ln>
            <a:effectLst/>
          </c:spPr>
          <c:invertIfNegative val="0"/>
          <c:cat>
            <c:strLit>
              <c:ptCount val="4"/>
              <c:pt idx="0">
                <c:v>East</c:v>
              </c:pt>
              <c:pt idx="1">
                <c:v>West</c:v>
              </c:pt>
              <c:pt idx="2">
                <c:v>North</c:v>
              </c:pt>
              <c:pt idx="3">
                <c:v>South</c:v>
              </c:pt>
            </c:strLit>
          </c:cat>
          <c:val>
            <c:numLit>
              <c:formatCode>General</c:formatCode>
              <c:ptCount val="4"/>
              <c:pt idx="0">
                <c:v>3708892.5099999979</c:v>
              </c:pt>
              <c:pt idx="1">
                <c:v>3485772.2200000011</c:v>
              </c:pt>
              <c:pt idx="2">
                <c:v>2828419.4200000013</c:v>
              </c:pt>
              <c:pt idx="3">
                <c:v>2652252.6399999997</c:v>
              </c:pt>
            </c:numLit>
          </c:val>
          <c:extLst>
            <c:ext xmlns:c16="http://schemas.microsoft.com/office/drawing/2014/chart" uri="{C3380CC4-5D6E-409C-BE32-E72D297353CC}">
              <c16:uniqueId val="{00000000-197A-46E6-8FC8-71BDC8DE375B}"/>
            </c:ext>
          </c:extLst>
        </c:ser>
        <c:dLbls>
          <c:showLegendKey val="0"/>
          <c:showVal val="0"/>
          <c:showCatName val="0"/>
          <c:showSerName val="0"/>
          <c:showPercent val="0"/>
          <c:showBubbleSize val="0"/>
        </c:dLbls>
        <c:gapWidth val="156"/>
        <c:axId val="1830240176"/>
        <c:axId val="1749518096"/>
      </c:barChart>
      <c:barChart>
        <c:barDir val="col"/>
        <c:grouping val="clustered"/>
        <c:varyColors val="0"/>
        <c:ser>
          <c:idx val="0"/>
          <c:order val="0"/>
          <c:tx>
            <c:v>Revenues</c:v>
          </c:tx>
          <c:spPr>
            <a:solidFill>
              <a:schemeClr val="accent1">
                <a:lumMod val="20000"/>
                <a:lumOff val="80000"/>
              </a:schemeClr>
            </a:solidFill>
            <a:ln>
              <a:noFill/>
            </a:ln>
            <a:effectLst/>
          </c:spPr>
          <c:invertIfNegative val="0"/>
          <c:cat>
            <c:strLit>
              <c:ptCount val="4"/>
              <c:pt idx="0">
                <c:v>East</c:v>
              </c:pt>
              <c:pt idx="1">
                <c:v>West</c:v>
              </c:pt>
              <c:pt idx="2">
                <c:v>North</c:v>
              </c:pt>
              <c:pt idx="3">
                <c:v>South</c:v>
              </c:pt>
            </c:strLit>
          </c:cat>
          <c:val>
            <c:numLit>
              <c:formatCode>General</c:formatCode>
              <c:ptCount val="4"/>
              <c:pt idx="0">
                <c:v>12595554.119999994</c:v>
              </c:pt>
              <c:pt idx="1">
                <c:v>11414539.249999998</c:v>
              </c:pt>
              <c:pt idx="2">
                <c:v>8724628.6699999981</c:v>
              </c:pt>
              <c:pt idx="3">
                <c:v>8516074.790000001</c:v>
              </c:pt>
            </c:numLit>
          </c:val>
          <c:extLst>
            <c:ext xmlns:c16="http://schemas.microsoft.com/office/drawing/2014/chart" uri="{C3380CC4-5D6E-409C-BE32-E72D297353CC}">
              <c16:uniqueId val="{00000001-197A-46E6-8FC8-71BDC8DE375B}"/>
            </c:ext>
          </c:extLst>
        </c:ser>
        <c:dLbls>
          <c:showLegendKey val="0"/>
          <c:showVal val="0"/>
          <c:showCatName val="0"/>
          <c:showSerName val="0"/>
          <c:showPercent val="0"/>
          <c:showBubbleSize val="0"/>
        </c:dLbls>
        <c:gapWidth val="315"/>
        <c:axId val="1830301424"/>
        <c:axId val="1749561296"/>
      </c:barChart>
      <c:catAx>
        <c:axId val="183024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49518096"/>
        <c:crosses val="autoZero"/>
        <c:auto val="1"/>
        <c:lblAlgn val="ctr"/>
        <c:lblOffset val="100"/>
        <c:noMultiLvlLbl val="0"/>
      </c:catAx>
      <c:valAx>
        <c:axId val="1749518096"/>
        <c:scaling>
          <c:orientation val="minMax"/>
        </c:scaling>
        <c:delete val="0"/>
        <c:axPos val="l"/>
        <c:numFmt formatCode="&quot;₹&quot;\ #,##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30240176"/>
        <c:crosses val="autoZero"/>
        <c:crossBetween val="between"/>
      </c:valAx>
      <c:valAx>
        <c:axId val="1749561296"/>
        <c:scaling>
          <c:orientation val="minMax"/>
          <c:max val="4000000"/>
        </c:scaling>
        <c:delete val="1"/>
        <c:axPos val="r"/>
        <c:numFmt formatCode="General" sourceLinked="1"/>
        <c:majorTickMark val="out"/>
        <c:minorTickMark val="none"/>
        <c:tickLblPos val="nextTo"/>
        <c:crossAx val="1830301424"/>
        <c:crosses val="max"/>
        <c:crossBetween val="between"/>
      </c:valAx>
      <c:catAx>
        <c:axId val="1830301424"/>
        <c:scaling>
          <c:orientation val="minMax"/>
        </c:scaling>
        <c:delete val="1"/>
        <c:axPos val="b"/>
        <c:numFmt formatCode="General" sourceLinked="1"/>
        <c:majorTickMark val="out"/>
        <c:minorTickMark val="none"/>
        <c:tickLblPos val="nextTo"/>
        <c:crossAx val="1749561296"/>
        <c:crosses val="autoZero"/>
        <c:auto val="1"/>
        <c:lblAlgn val="ctr"/>
        <c:lblOffset val="100"/>
        <c:noMultiLvlLbl val="0"/>
      </c:catAx>
      <c:spPr>
        <a:noFill/>
        <a:ln>
          <a:noFill/>
        </a:ln>
        <a:effectLst/>
      </c:spPr>
    </c:plotArea>
    <c:legend>
      <c:legendPos val="r"/>
      <c:layout>
        <c:manualLayout>
          <c:xMode val="edge"/>
          <c:yMode val="edge"/>
          <c:x val="0.60036747294191239"/>
          <c:y val="2.9994209147210011E-4"/>
          <c:w val="0.34975945349398008"/>
          <c:h val="0.23153361770977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Times New Roman" panose="02020603050405020304" pitchFamily="18" charset="0"/>
                <a:ea typeface="+mn-ea"/>
                <a:cs typeface="Times New Roman" panose="02020603050405020304" pitchFamily="18" charset="0"/>
              </a:defRPr>
            </a:pPr>
            <a:r>
              <a:rPr lang="en-US" baseline="0">
                <a:solidFill>
                  <a:schemeClr val="accent2">
                    <a:lumMod val="75000"/>
                  </a:schemeClr>
                </a:solidFill>
                <a:latin typeface="Times New Roman" panose="02020603050405020304" pitchFamily="18" charset="0"/>
                <a:cs typeface="Times New Roman" panose="02020603050405020304" pitchFamily="18" charset="0"/>
              </a:rPr>
              <a:t> Monthly Profit Trend</a:t>
            </a:r>
          </a:p>
        </c:rich>
      </c:tx>
      <c:layout>
        <c:manualLayout>
          <c:xMode val="edge"/>
          <c:yMode val="edge"/>
          <c:x val="1.0273770748748291E-3"/>
          <c:y val="9.229604209862305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tx2">
                <a:lumMod val="60000"/>
                <a:lumOff val="40000"/>
              </a:schemeClr>
            </a:solidFill>
            <a:round/>
          </a:ln>
          <a:effectLst/>
        </c:spPr>
        <c:marker>
          <c:symbol val="circle"/>
          <c:size val="5"/>
          <c:spPr>
            <a:solidFill>
              <a:schemeClr val="accent2">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lumMod val="60000"/>
                <a:lumOff val="40000"/>
              </a:schemeClr>
            </a:solidFill>
            <a:round/>
          </a:ln>
          <a:effectLst/>
        </c:spPr>
        <c:marker>
          <c:symbol val="circle"/>
          <c:size val="5"/>
          <c:spPr>
            <a:solidFill>
              <a:schemeClr val="accent2">
                <a:lumMod val="75000"/>
              </a:schemeClr>
            </a:solidFill>
            <a:ln w="9525">
              <a:solidFill>
                <a:schemeClr val="accent1"/>
              </a:solidFill>
            </a:ln>
            <a:effectLst/>
          </c:spPr>
        </c:marker>
      </c:pivotFmt>
      <c:pivotFmt>
        <c:idx val="2"/>
        <c:spPr>
          <a:solidFill>
            <a:schemeClr val="accent1"/>
          </a:solidFill>
          <a:ln w="28575" cap="rnd">
            <a:solidFill>
              <a:schemeClr val="tx2">
                <a:lumMod val="60000"/>
                <a:lumOff val="40000"/>
              </a:schemeClr>
            </a:solidFill>
            <a:round/>
          </a:ln>
          <a:effectLst/>
        </c:spPr>
        <c:marker>
          <c:symbol val="circle"/>
          <c:size val="5"/>
          <c:spPr>
            <a:solidFill>
              <a:schemeClr val="accent2">
                <a:lumMod val="75000"/>
              </a:schemeClr>
            </a:solidFill>
            <a:ln w="9525">
              <a:solidFill>
                <a:schemeClr val="accent1"/>
              </a:solidFill>
            </a:ln>
            <a:effectLst/>
          </c:spPr>
        </c:marker>
      </c:pivotFmt>
      <c:pivotFmt>
        <c:idx val="3"/>
        <c:spPr>
          <a:solidFill>
            <a:schemeClr val="accent1"/>
          </a:solidFill>
          <a:ln w="28575" cap="rnd">
            <a:solidFill>
              <a:schemeClr val="tx2">
                <a:lumMod val="60000"/>
                <a:lumOff val="40000"/>
              </a:schemeClr>
            </a:solidFill>
            <a:round/>
          </a:ln>
          <a:effectLst/>
        </c:spPr>
        <c:marker>
          <c:symbol val="circle"/>
          <c:size val="5"/>
          <c:spPr>
            <a:solidFill>
              <a:schemeClr val="accent2">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2">
                <a:lumMod val="60000"/>
                <a:lumOff val="40000"/>
              </a:schemeClr>
            </a:solidFill>
            <a:round/>
          </a:ln>
          <a:effectLst/>
        </c:spPr>
        <c:marker>
          <c:symbol val="circle"/>
          <c:size val="5"/>
          <c:spPr>
            <a:solidFill>
              <a:schemeClr val="accent2">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tx2">
                  <a:lumMod val="60000"/>
                  <a:lumOff val="40000"/>
                </a:schemeClr>
              </a:solidFill>
              <a:round/>
            </a:ln>
            <a:effectLst/>
          </c:spPr>
          <c:marker>
            <c:symbol val="circle"/>
            <c:size val="5"/>
            <c:spPr>
              <a:solidFill>
                <a:schemeClr val="accent2">
                  <a:lumMod val="75000"/>
                </a:schemeClr>
              </a:solidFill>
              <a:ln w="9525">
                <a:solidFill>
                  <a:schemeClr val="accent1"/>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687511.86</c:v>
              </c:pt>
              <c:pt idx="1">
                <c:v>773681.15999999968</c:v>
              </c:pt>
              <c:pt idx="2">
                <c:v>1315636.05</c:v>
              </c:pt>
              <c:pt idx="3">
                <c:v>994025.68</c:v>
              </c:pt>
              <c:pt idx="4">
                <c:v>1396674.55</c:v>
              </c:pt>
              <c:pt idx="5">
                <c:v>819165.09000000008</c:v>
              </c:pt>
              <c:pt idx="6">
                <c:v>1332753.8400000001</c:v>
              </c:pt>
              <c:pt idx="7">
                <c:v>898428.69</c:v>
              </c:pt>
              <c:pt idx="8">
                <c:v>1214038.0999999999</c:v>
              </c:pt>
              <c:pt idx="9">
                <c:v>929798.50000000035</c:v>
              </c:pt>
              <c:pt idx="10">
                <c:v>1057099.3899999999</c:v>
              </c:pt>
              <c:pt idx="11">
                <c:v>1256523.8800000004</c:v>
              </c:pt>
            </c:numLit>
          </c:val>
          <c:smooth val="0"/>
          <c:extLst>
            <c:ext xmlns:c16="http://schemas.microsoft.com/office/drawing/2014/chart" uri="{C3380CC4-5D6E-409C-BE32-E72D297353CC}">
              <c16:uniqueId val="{00000000-643C-424C-97BB-E7EA7FB9C0DD}"/>
            </c:ext>
          </c:extLst>
        </c:ser>
        <c:dLbls>
          <c:showLegendKey val="0"/>
          <c:showVal val="0"/>
          <c:showCatName val="0"/>
          <c:showSerName val="0"/>
          <c:showPercent val="0"/>
          <c:showBubbleSize val="0"/>
        </c:dLbls>
        <c:marker val="1"/>
        <c:smooth val="0"/>
        <c:axId val="1830218832"/>
        <c:axId val="1749536336"/>
      </c:lineChart>
      <c:catAx>
        <c:axId val="183021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49536336"/>
        <c:crosses val="autoZero"/>
        <c:auto val="1"/>
        <c:lblAlgn val="ctr"/>
        <c:lblOffset val="100"/>
        <c:noMultiLvlLbl val="0"/>
      </c:catAx>
      <c:valAx>
        <c:axId val="1749536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3021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Times New Roman" panose="02020603050405020304" pitchFamily="18" charset="0"/>
                <a:ea typeface="+mn-ea"/>
                <a:cs typeface="Times New Roman" panose="02020603050405020304" pitchFamily="18" charset="0"/>
              </a:defRPr>
            </a:pPr>
            <a:r>
              <a:rPr lang="en-US">
                <a:solidFill>
                  <a:schemeClr val="accent2">
                    <a:lumMod val="75000"/>
                  </a:schemeClr>
                </a:solidFill>
                <a:latin typeface="Times New Roman" panose="02020603050405020304" pitchFamily="18" charset="0"/>
                <a:cs typeface="Times New Roman" panose="02020603050405020304" pitchFamily="18" charset="0"/>
              </a:rPr>
              <a:t>Category</a:t>
            </a:r>
            <a:r>
              <a:rPr lang="en-US" baseline="0">
                <a:solidFill>
                  <a:schemeClr val="accent2">
                    <a:lumMod val="75000"/>
                  </a:schemeClr>
                </a:solidFill>
                <a:latin typeface="Times New Roman" panose="02020603050405020304" pitchFamily="18" charset="0"/>
                <a:cs typeface="Times New Roman" panose="02020603050405020304" pitchFamily="18" charset="0"/>
              </a:rPr>
              <a:t> Performance</a:t>
            </a:r>
            <a:endParaRPr lang="en-US">
              <a:solidFill>
                <a:schemeClr val="accent2">
                  <a:lumMod val="75000"/>
                </a:schemeClr>
              </a:solidFill>
              <a:latin typeface="Times New Roman" panose="02020603050405020304" pitchFamily="18" charset="0"/>
              <a:cs typeface="Times New Roman" panose="02020603050405020304" pitchFamily="18" charset="0"/>
            </a:endParaRPr>
          </a:p>
        </c:rich>
      </c:tx>
      <c:layout>
        <c:manualLayout>
          <c:xMode val="edge"/>
          <c:yMode val="edge"/>
          <c:x val="6.6290175300846906E-3"/>
          <c:y val="4.873717003592735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numFmt formatCode="&quot;₹&quot;\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numFmt formatCode="&quot;₹&quot;\ #,##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Electronics</c:v>
              </c:pt>
              <c:pt idx="1">
                <c:v>Furniture</c:v>
              </c:pt>
              <c:pt idx="2">
                <c:v>Accessories</c:v>
              </c:pt>
              <c:pt idx="3">
                <c:v>Stationery</c:v>
              </c:pt>
            </c:strLit>
          </c:cat>
          <c:val>
            <c:numLit>
              <c:formatCode>General</c:formatCode>
              <c:ptCount val="4"/>
              <c:pt idx="0">
                <c:v>10797313.509999985</c:v>
              </c:pt>
              <c:pt idx="1">
                <c:v>1618455.3099999989</c:v>
              </c:pt>
              <c:pt idx="2">
                <c:v>244109.36999999991</c:v>
              </c:pt>
              <c:pt idx="3">
                <c:v>15458.600000000004</c:v>
              </c:pt>
            </c:numLit>
          </c:val>
          <c:extLst>
            <c:ext xmlns:c16="http://schemas.microsoft.com/office/drawing/2014/chart" uri="{C3380CC4-5D6E-409C-BE32-E72D297353CC}">
              <c16:uniqueId val="{00000000-3BAF-47EC-B91F-F951574C816B}"/>
            </c:ext>
          </c:extLst>
        </c:ser>
        <c:dLbls>
          <c:dLblPos val="outEnd"/>
          <c:showLegendKey val="0"/>
          <c:showVal val="1"/>
          <c:showCatName val="0"/>
          <c:showSerName val="0"/>
          <c:showPercent val="0"/>
          <c:showBubbleSize val="0"/>
        </c:dLbls>
        <c:gapWidth val="182"/>
        <c:axId val="1813531760"/>
        <c:axId val="1749508976"/>
      </c:barChart>
      <c:catAx>
        <c:axId val="1813531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49508976"/>
        <c:crosses val="autoZero"/>
        <c:auto val="1"/>
        <c:lblAlgn val="ctr"/>
        <c:lblOffset val="100"/>
        <c:noMultiLvlLbl val="0"/>
      </c:catAx>
      <c:valAx>
        <c:axId val="1749508976"/>
        <c:scaling>
          <c:orientation val="minMax"/>
        </c:scaling>
        <c:delete val="0"/>
        <c:axPos val="b"/>
        <c:numFmt formatCode="&quot;₹&quot;\ #,##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1353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2">
                    <a:lumMod val="75000"/>
                  </a:schemeClr>
                </a:solidFill>
                <a:latin typeface="Times New Roman" panose="02020603050405020304" pitchFamily="18" charset="0"/>
                <a:ea typeface="+mn-ea"/>
                <a:cs typeface="Times New Roman" panose="02020603050405020304" pitchFamily="18" charset="0"/>
              </a:defRPr>
            </a:pPr>
            <a:r>
              <a:rPr lang="en-IN">
                <a:solidFill>
                  <a:schemeClr val="accent2">
                    <a:lumMod val="75000"/>
                  </a:schemeClr>
                </a:solidFill>
                <a:latin typeface="Times New Roman" panose="02020603050405020304" pitchFamily="18" charset="0"/>
                <a:cs typeface="Times New Roman" panose="02020603050405020304" pitchFamily="18" charset="0"/>
              </a:rPr>
              <a:t>Discount</a:t>
            </a:r>
            <a:r>
              <a:rPr lang="en-IN" baseline="0">
                <a:solidFill>
                  <a:schemeClr val="accent2">
                    <a:lumMod val="75000"/>
                  </a:schemeClr>
                </a:solidFill>
                <a:latin typeface="Times New Roman" panose="02020603050405020304" pitchFamily="18" charset="0"/>
                <a:cs typeface="Times New Roman" panose="02020603050405020304" pitchFamily="18" charset="0"/>
              </a:rPr>
              <a:t> % vs. Profit by Product</a:t>
            </a:r>
          </a:p>
        </c:rich>
      </c:tx>
      <c:layout>
        <c:manualLayout>
          <c:xMode val="edge"/>
          <c:yMode val="edge"/>
          <c:x val="5.0887771763586552E-3"/>
          <c:y val="9.237666987196739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dLbls>
            <c:dLbl>
              <c:idx val="0"/>
              <c:layout>
                <c:manualLayout>
                  <c:x val="9.2374852545682052E-3"/>
                  <c:y val="-3.0673945133238498E-2"/>
                </c:manualLayout>
              </c:layout>
              <c:tx>
                <c:rich>
                  <a:bodyPr/>
                  <a:lstStyle/>
                  <a:p>
                    <a:fld id="{089D7F68-8109-48F3-9E44-AA1204DDEAA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33F-433F-851C-1ED35FD6CD59}"/>
                </c:ext>
              </c:extLst>
            </c:dLbl>
            <c:dLbl>
              <c:idx val="1"/>
              <c:tx>
                <c:rich>
                  <a:bodyPr/>
                  <a:lstStyle/>
                  <a:p>
                    <a:fld id="{8FD8DA31-7DB9-46EB-B235-C15F79529E2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33F-433F-851C-1ED35FD6CD59}"/>
                </c:ext>
              </c:extLst>
            </c:dLbl>
            <c:dLbl>
              <c:idx val="2"/>
              <c:tx>
                <c:rich>
                  <a:bodyPr/>
                  <a:lstStyle/>
                  <a:p>
                    <a:fld id="{6A24E778-C2AB-4E1C-B47E-EF76553E1EF8}"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33F-433F-851C-1ED35FD6CD59}"/>
                </c:ext>
              </c:extLst>
            </c:dLbl>
            <c:dLbl>
              <c:idx val="3"/>
              <c:layout>
                <c:manualLayout>
                  <c:x val="-9.7356090452083169E-2"/>
                  <c:y val="-5.7594000683918546E-2"/>
                </c:manualLayout>
              </c:layout>
              <c:tx>
                <c:rich>
                  <a:bodyPr/>
                  <a:lstStyle/>
                  <a:p>
                    <a:fld id="{CEDE56A1-31F4-4257-AB47-1C6191ED0D2D}"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33F-433F-851C-1ED35FD6CD59}"/>
                </c:ext>
              </c:extLst>
            </c:dLbl>
            <c:dLbl>
              <c:idx val="4"/>
              <c:layout>
                <c:manualLayout>
                  <c:x val="4.3003722543043889E-2"/>
                  <c:y val="-0.18668181161456326"/>
                </c:manualLayout>
              </c:layout>
              <c:tx>
                <c:rich>
                  <a:bodyPr/>
                  <a:lstStyle/>
                  <a:p>
                    <a:fld id="{1A52C26C-8823-483E-B348-AC53C6595425}"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B33F-433F-851C-1ED35FD6CD59}"/>
                </c:ext>
              </c:extLst>
            </c:dLbl>
            <c:dLbl>
              <c:idx val="5"/>
              <c:layout>
                <c:manualLayout>
                  <c:x val="-2.3677011003904552E-2"/>
                  <c:y val="-0.13135846407285828"/>
                </c:manualLayout>
              </c:layout>
              <c:tx>
                <c:rich>
                  <a:bodyPr/>
                  <a:lstStyle/>
                  <a:p>
                    <a:fld id="{FCAE30BC-3FF2-4CE4-84D4-3099539F2CBA}"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B33F-433F-851C-1ED35FD6CD59}"/>
                </c:ext>
              </c:extLst>
            </c:dLbl>
            <c:dLbl>
              <c:idx val="6"/>
              <c:layout>
                <c:manualLayout>
                  <c:x val="-5.027304558829291E-2"/>
                  <c:y val="-0.1451893009582845"/>
                </c:manualLayout>
              </c:layout>
              <c:tx>
                <c:rich>
                  <a:bodyPr/>
                  <a:lstStyle/>
                  <a:p>
                    <a:fld id="{3BB4F37E-232E-4788-B0B8-54C24944F1F7}"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B33F-433F-851C-1ED35FD6CD59}"/>
                </c:ext>
              </c:extLst>
            </c:dLbl>
            <c:dLbl>
              <c:idx val="7"/>
              <c:tx>
                <c:rich>
                  <a:bodyPr/>
                  <a:lstStyle/>
                  <a:p>
                    <a:fld id="{F8680AF0-BD37-45CC-BEC2-5D968662302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33F-433F-851C-1ED35FD6CD59}"/>
                </c:ext>
              </c:extLst>
            </c:dLbl>
            <c:dLbl>
              <c:idx val="8"/>
              <c:layout>
                <c:manualLayout>
                  <c:x val="1.4788610467291009E-2"/>
                  <c:y val="-5.298372172210998E-2"/>
                </c:manualLayout>
              </c:layout>
              <c:tx>
                <c:rich>
                  <a:bodyPr/>
                  <a:lstStyle/>
                  <a:p>
                    <a:fld id="{D83F602D-41D3-4A63-97EF-4AE4F6703092}"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B33F-433F-851C-1ED35FD6CD59}"/>
                </c:ext>
              </c:extLst>
            </c:dLbl>
            <c:dLbl>
              <c:idx val="9"/>
              <c:layout>
                <c:manualLayout>
                  <c:x val="2.9382633954749444E-2"/>
                  <c:y val="-6.2204279645727285E-2"/>
                </c:manualLayout>
              </c:layout>
              <c:tx>
                <c:rich>
                  <a:bodyPr/>
                  <a:lstStyle/>
                  <a:p>
                    <a:fld id="{85A74E08-357E-4B32-A324-43B93DF6E357}"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B33F-433F-851C-1ED35FD6CD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[1]Discouts!$B$16:$B$25</c:f>
              <c:numCache>
                <c:formatCode>General</c:formatCode>
                <c:ptCount val="10"/>
                <c:pt idx="0">
                  <c:v>9.9462365591397841</c:v>
                </c:pt>
                <c:pt idx="1">
                  <c:v>10.588235294117647</c:v>
                </c:pt>
                <c:pt idx="2">
                  <c:v>11.336633663366337</c:v>
                </c:pt>
                <c:pt idx="3">
                  <c:v>9.8989898989898997</c:v>
                </c:pt>
                <c:pt idx="4">
                  <c:v>10.047169811320755</c:v>
                </c:pt>
                <c:pt idx="5">
                  <c:v>10.199999999999999</c:v>
                </c:pt>
                <c:pt idx="6">
                  <c:v>9.9553571428571423</c:v>
                </c:pt>
                <c:pt idx="7">
                  <c:v>9.4949494949494948</c:v>
                </c:pt>
                <c:pt idx="8">
                  <c:v>10.511363636363637</c:v>
                </c:pt>
                <c:pt idx="9">
                  <c:v>10.199999999999999</c:v>
                </c:pt>
              </c:numCache>
            </c:numRef>
          </c:xVal>
          <c:yVal>
            <c:numRef>
              <c:f>[1]Discouts!$C$16:$C$25</c:f>
              <c:numCache>
                <c:formatCode>General</c:formatCode>
                <c:ptCount val="10"/>
                <c:pt idx="0">
                  <c:v>7178542.049999998</c:v>
                </c:pt>
                <c:pt idx="1">
                  <c:v>3163740.2800000003</c:v>
                </c:pt>
                <c:pt idx="2">
                  <c:v>1075044.3899999999</c:v>
                </c:pt>
                <c:pt idx="3">
                  <c:v>543410.91999999993</c:v>
                </c:pt>
                <c:pt idx="4">
                  <c:v>333062.17000000022</c:v>
                </c:pt>
                <c:pt idx="5">
                  <c:v>186654.46999999994</c:v>
                </c:pt>
                <c:pt idx="6">
                  <c:v>121969.00999999998</c:v>
                </c:pt>
                <c:pt idx="7">
                  <c:v>57454.89999999998</c:v>
                </c:pt>
                <c:pt idx="8">
                  <c:v>12024.97</c:v>
                </c:pt>
                <c:pt idx="9">
                  <c:v>3433.6300000000006</c:v>
                </c:pt>
              </c:numCache>
            </c:numRef>
          </c:yVal>
          <c:smooth val="0"/>
          <c:extLst>
            <c:ext xmlns:c15="http://schemas.microsoft.com/office/drawing/2012/chart" uri="{02D57815-91ED-43cb-92C2-25804820EDAC}">
              <c15:datalabelsRange>
                <c15:f>[1]Discouts!$A$16:$A$25</c15:f>
                <c15:dlblRangeCache>
                  <c:ptCount val="10"/>
                  <c:pt idx="0">
                    <c:v>Laptop</c:v>
                  </c:pt>
                  <c:pt idx="1">
                    <c:v>Phone</c:v>
                  </c:pt>
                  <c:pt idx="2">
                    <c:v>Desk</c:v>
                  </c:pt>
                  <c:pt idx="3">
                    <c:v>Chair</c:v>
                  </c:pt>
                  <c:pt idx="4">
                    <c:v>Headphones</c:v>
                  </c:pt>
                  <c:pt idx="5">
                    <c:v>Backpack</c:v>
                  </c:pt>
                  <c:pt idx="6">
                    <c:v>Mouse</c:v>
                  </c:pt>
                  <c:pt idx="7">
                    <c:v>Bottle</c:v>
                  </c:pt>
                  <c:pt idx="8">
                    <c:v>Notebook</c:v>
                  </c:pt>
                  <c:pt idx="9">
                    <c:v>Pen</c:v>
                  </c:pt>
                </c15:dlblRangeCache>
              </c15:datalabelsRange>
            </c:ext>
            <c:ext xmlns:c16="http://schemas.microsoft.com/office/drawing/2014/chart" uri="{C3380CC4-5D6E-409C-BE32-E72D297353CC}">
              <c16:uniqueId val="{0000000A-B33F-433F-851C-1ED35FD6CD59}"/>
            </c:ext>
          </c:extLst>
        </c:ser>
        <c:dLbls>
          <c:dLblPos val="t"/>
          <c:showLegendKey val="0"/>
          <c:showVal val="1"/>
          <c:showCatName val="0"/>
          <c:showSerName val="0"/>
          <c:showPercent val="0"/>
          <c:showBubbleSize val="0"/>
        </c:dLbls>
        <c:axId val="240007855"/>
        <c:axId val="1959159919"/>
      </c:scatterChart>
      <c:valAx>
        <c:axId val="2400078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a:latin typeface="Times New Roman" panose="02020603050405020304" pitchFamily="18" charset="0"/>
                    <a:cs typeface="Times New Roman" panose="02020603050405020304" pitchFamily="18" charset="0"/>
                  </a:rPr>
                  <a:t>Average</a:t>
                </a:r>
                <a:r>
                  <a:rPr lang="en-IN" baseline="0">
                    <a:latin typeface="Times New Roman" panose="02020603050405020304" pitchFamily="18" charset="0"/>
                    <a:cs typeface="Times New Roman" panose="02020603050405020304" pitchFamily="18" charset="0"/>
                  </a:rPr>
                  <a:t> Dicount %</a:t>
                </a:r>
                <a:endParaRPr lang="en-IN">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959159919"/>
        <c:crosses val="autoZero"/>
        <c:crossBetween val="midCat"/>
      </c:valAx>
      <c:valAx>
        <c:axId val="1959159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a:latin typeface="Times New Roman" panose="02020603050405020304" pitchFamily="18" charset="0"/>
                    <a:cs typeface="Times New Roman" panose="02020603050405020304" pitchFamily="18" charset="0"/>
                  </a:rPr>
                  <a:t>Total</a:t>
                </a:r>
                <a:r>
                  <a:rPr lang="en-IN" baseline="0">
                    <a:latin typeface="Times New Roman" panose="02020603050405020304" pitchFamily="18" charset="0"/>
                    <a:cs typeface="Times New Roman" panose="02020603050405020304" pitchFamily="18" charset="0"/>
                  </a:rPr>
                  <a:t> Profit</a:t>
                </a:r>
              </a:p>
            </c:rich>
          </c:tx>
          <c:layout>
            <c:manualLayout>
              <c:xMode val="edge"/>
              <c:yMode val="edge"/>
              <c:x val="1.9471176854136792E-2"/>
              <c:y val="0.3720235215427117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quot;₹&quot;\ #,##0.0,,&quot;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400078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117214</xdr:colOff>
      <xdr:row>8</xdr:row>
      <xdr:rowOff>29673</xdr:rowOff>
    </xdr:from>
    <xdr:to>
      <xdr:col>5</xdr:col>
      <xdr:colOff>495299</xdr:colOff>
      <xdr:row>22</xdr:row>
      <xdr:rowOff>44450</xdr:rowOff>
    </xdr:to>
    <xdr:graphicFrame macro="">
      <xdr:nvGraphicFramePr>
        <xdr:cNvPr id="2" name="Chart 1">
          <a:extLst>
            <a:ext uri="{FF2B5EF4-FFF2-40B4-BE49-F238E27FC236}">
              <a16:creationId xmlns:a16="http://schemas.microsoft.com/office/drawing/2014/main" id="{609636E6-A45C-4C27-922F-06FD2008C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126024</xdr:colOff>
      <xdr:row>22</xdr:row>
      <xdr:rowOff>104441</xdr:rowOff>
    </xdr:from>
    <xdr:to>
      <xdr:col>3</xdr:col>
      <xdr:colOff>431173</xdr:colOff>
      <xdr:row>37</xdr:row>
      <xdr:rowOff>83431</xdr:rowOff>
    </xdr:to>
    <xdr:graphicFrame macro="">
      <xdr:nvGraphicFramePr>
        <xdr:cNvPr id="3" name="Chart 2">
          <a:extLst>
            <a:ext uri="{FF2B5EF4-FFF2-40B4-BE49-F238E27FC236}">
              <a16:creationId xmlns:a16="http://schemas.microsoft.com/office/drawing/2014/main" id="{625DB190-8963-44C8-9A20-1858913E2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541670</xdr:colOff>
      <xdr:row>8</xdr:row>
      <xdr:rowOff>25399</xdr:rowOff>
    </xdr:from>
    <xdr:to>
      <xdr:col>11</xdr:col>
      <xdr:colOff>588843</xdr:colOff>
      <xdr:row>22</xdr:row>
      <xdr:rowOff>41541</xdr:rowOff>
    </xdr:to>
    <xdr:graphicFrame macro="">
      <xdr:nvGraphicFramePr>
        <xdr:cNvPr id="4" name="Chart 3">
          <a:extLst>
            <a:ext uri="{FF2B5EF4-FFF2-40B4-BE49-F238E27FC236}">
              <a16:creationId xmlns:a16="http://schemas.microsoft.com/office/drawing/2014/main" id="{180392DD-4259-4A0C-8B5F-9E97934ED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219347</xdr:colOff>
      <xdr:row>22</xdr:row>
      <xdr:rowOff>100817</xdr:rowOff>
    </xdr:from>
    <xdr:to>
      <xdr:col>16</xdr:col>
      <xdr:colOff>351518</xdr:colOff>
      <xdr:row>37</xdr:row>
      <xdr:rowOff>74706</xdr:rowOff>
    </xdr:to>
    <xdr:graphicFrame macro="">
      <xdr:nvGraphicFramePr>
        <xdr:cNvPr id="5" name="Chart 4">
          <a:extLst>
            <a:ext uri="{FF2B5EF4-FFF2-40B4-BE49-F238E27FC236}">
              <a16:creationId xmlns:a16="http://schemas.microsoft.com/office/drawing/2014/main" id="{48F9D4D8-EACB-4AA1-B89C-9D7E64BE0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448018</xdr:colOff>
      <xdr:row>21</xdr:row>
      <xdr:rowOff>104448</xdr:rowOff>
    </xdr:from>
    <xdr:to>
      <xdr:col>18</xdr:col>
      <xdr:colOff>460887</xdr:colOff>
      <xdr:row>29</xdr:row>
      <xdr:rowOff>2412</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9D4D7B47-758F-4E1D-B8E1-2C2B02EEB76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438403" y="4215666"/>
              <a:ext cx="1234022" cy="1395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449503</xdr:colOff>
      <xdr:row>14</xdr:row>
      <xdr:rowOff>158750</xdr:rowOff>
    </xdr:from>
    <xdr:to>
      <xdr:col>18</xdr:col>
      <xdr:colOff>460887</xdr:colOff>
      <xdr:row>21</xdr:row>
      <xdr:rowOff>34017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2DB6222-6143-4168-B10D-84BF6C22334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39888" y="2959263"/>
              <a:ext cx="1232537" cy="1185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472225</xdr:colOff>
      <xdr:row>29</xdr:row>
      <xdr:rowOff>87299</xdr:rowOff>
    </xdr:from>
    <xdr:to>
      <xdr:col>18</xdr:col>
      <xdr:colOff>465070</xdr:colOff>
      <xdr:row>37</xdr:row>
      <xdr:rowOff>67862</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936C4BAB-CBDD-4181-91DA-8398B25DEA3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462610" y="5696466"/>
              <a:ext cx="1213998" cy="1478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29673</xdr:colOff>
      <xdr:row>8</xdr:row>
      <xdr:rowOff>23739</xdr:rowOff>
    </xdr:from>
    <xdr:to>
      <xdr:col>16</xdr:col>
      <xdr:colOff>354135</xdr:colOff>
      <xdr:row>22</xdr:row>
      <xdr:rowOff>36636</xdr:rowOff>
    </xdr:to>
    <xdr:graphicFrame macro="">
      <xdr:nvGraphicFramePr>
        <xdr:cNvPr id="9" name="Chart 8">
          <a:extLst>
            <a:ext uri="{FF2B5EF4-FFF2-40B4-BE49-F238E27FC236}">
              <a16:creationId xmlns:a16="http://schemas.microsoft.com/office/drawing/2014/main" id="{3FC9214C-9478-4AA7-BFED-7EC7CB570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442233</xdr:colOff>
      <xdr:row>8</xdr:row>
      <xdr:rowOff>29673</xdr:rowOff>
    </xdr:from>
    <xdr:to>
      <xdr:col>18</xdr:col>
      <xdr:colOff>467591</xdr:colOff>
      <xdr:row>14</xdr:row>
      <xdr:rowOff>71924</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85825EF1-04D2-42CC-B6FD-25246FA3FB3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432618" y="1706724"/>
              <a:ext cx="1246511" cy="1165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122450</xdr:colOff>
      <xdr:row>1</xdr:row>
      <xdr:rowOff>107999</xdr:rowOff>
    </xdr:from>
    <xdr:to>
      <xdr:col>2</xdr:col>
      <xdr:colOff>578517</xdr:colOff>
      <xdr:row>7</xdr:row>
      <xdr:rowOff>44959</xdr:rowOff>
    </xdr:to>
    <xdr:sp macro="" textlink="[1]PIvot_KPI!B8">
      <xdr:nvSpPr>
        <xdr:cNvPr id="11" name="Rectangle: Rounded Corners 10">
          <a:extLst>
            <a:ext uri="{FF2B5EF4-FFF2-40B4-BE49-F238E27FC236}">
              <a16:creationId xmlns:a16="http://schemas.microsoft.com/office/drawing/2014/main" id="{87E91F52-7E32-4028-8D87-A0A9B0CE03FA}"/>
            </a:ext>
          </a:extLst>
        </xdr:cNvPr>
        <xdr:cNvSpPr/>
      </xdr:nvSpPr>
      <xdr:spPr>
        <a:xfrm>
          <a:off x="122450" y="476299"/>
          <a:ext cx="2399167" cy="1041860"/>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800" b="1" i="0" u="none" strike="noStrike" cap="none" spc="0">
              <a:ln w="0">
                <a:noFill/>
              </a:ln>
              <a:solidFill>
                <a:schemeClr val="accent2">
                  <a:lumMod val="75000"/>
                </a:schemeClr>
              </a:solidFill>
              <a:effectLst/>
              <a:latin typeface="Times New Roman" panose="02020603050405020304" pitchFamily="18" charset="0"/>
              <a:ea typeface="Calibri"/>
              <a:cs typeface="Times New Roman" panose="02020603050405020304" pitchFamily="18" charset="0"/>
            </a:rPr>
            <a:t>  </a:t>
          </a:r>
          <a:fld id="{FAC67579-8508-49C0-B28A-B27ACC758A8C}" type="TxLink">
            <a:rPr lang="en-US" sz="2400" b="1" i="0" u="none" strike="noStrike" cap="none" spc="0">
              <a:ln w="0">
                <a:noFill/>
              </a:ln>
              <a:solidFill>
                <a:schemeClr val="accent2">
                  <a:lumMod val="75000"/>
                </a:schemeClr>
              </a:solidFill>
              <a:effectLst/>
              <a:latin typeface="Times New Roman" panose="02020603050405020304" pitchFamily="18" charset="0"/>
              <a:ea typeface="Calibri"/>
              <a:cs typeface="Times New Roman" panose="02020603050405020304" pitchFamily="18" charset="0"/>
            </a:rPr>
            <a:pPr algn="l"/>
            <a:t>₹   41.3 M</a:t>
          </a:fld>
          <a:endParaRPr lang="en-US" sz="2400" b="1" i="0" u="none" strike="noStrike" cap="none" spc="0">
            <a:ln w="0">
              <a:noFill/>
            </a:ln>
            <a:solidFill>
              <a:schemeClr val="accent2">
                <a:lumMod val="75000"/>
              </a:schemeClr>
            </a:solidFill>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2</xdr:col>
      <xdr:colOff>697610</xdr:colOff>
      <xdr:row>1</xdr:row>
      <xdr:rowOff>125872</xdr:rowOff>
    </xdr:from>
    <xdr:to>
      <xdr:col>6</xdr:col>
      <xdr:colOff>167703</xdr:colOff>
      <xdr:row>7</xdr:row>
      <xdr:rowOff>73001</xdr:rowOff>
    </xdr:to>
    <xdr:sp macro="" textlink="[1]PIvot_KPI!B9">
      <xdr:nvSpPr>
        <xdr:cNvPr id="12" name="Rectangle: Rounded Corners 11">
          <a:extLst>
            <a:ext uri="{FF2B5EF4-FFF2-40B4-BE49-F238E27FC236}">
              <a16:creationId xmlns:a16="http://schemas.microsoft.com/office/drawing/2014/main" id="{698F4F73-8B62-4098-B4AA-10EA3A19E3A6}"/>
            </a:ext>
          </a:extLst>
        </xdr:cNvPr>
        <xdr:cNvSpPr/>
      </xdr:nvSpPr>
      <xdr:spPr>
        <a:xfrm>
          <a:off x="2640710" y="494172"/>
          <a:ext cx="2403793" cy="1052029"/>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2400" b="1" i="0" u="none" strike="noStrike" cap="none" spc="0">
            <a:ln w="0">
              <a:noFill/>
            </a:ln>
            <a:solidFill>
              <a:schemeClr val="accent2">
                <a:lumMod val="75000"/>
              </a:schemeClr>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endParaRPr>
        </a:p>
        <a:p>
          <a:pPr algn="l"/>
          <a:r>
            <a:rPr lang="en-US" sz="2400" b="1" i="0" u="none" strike="noStrike" cap="none" spc="0" baseline="0">
              <a:ln w="0">
                <a:noFill/>
              </a:ln>
              <a:solidFill>
                <a:schemeClr val="accent2">
                  <a:lumMod val="75000"/>
                </a:schemeClr>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t> </a:t>
          </a:r>
          <a:fld id="{583474DC-CC29-43A4-A11C-6DCF062B8822}" type="TxLink">
            <a:rPr lang="en-US" sz="2400" b="1" i="0" u="none" strike="noStrike" cap="none" spc="0">
              <a:ln w="0">
                <a:noFill/>
              </a:ln>
              <a:solidFill>
                <a:schemeClr val="accent2">
                  <a:lumMod val="75000"/>
                </a:schemeClr>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pPr algn="l"/>
            <a:t>₹   12.7 M</a:t>
          </a:fld>
          <a:endParaRPr lang="en-US" sz="2400" b="1" i="0" u="none" strike="noStrike" cap="none" spc="0">
            <a:ln w="0">
              <a:noFill/>
            </a:ln>
            <a:solidFill>
              <a:schemeClr val="accent2">
                <a:lumMod val="75000"/>
              </a:schemeClr>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endParaRPr>
        </a:p>
      </xdr:txBody>
    </xdr:sp>
    <xdr:clientData/>
  </xdr:twoCellAnchor>
  <xdr:twoCellAnchor editAs="oneCell">
    <xdr:from>
      <xdr:col>0</xdr:col>
      <xdr:colOff>351393</xdr:colOff>
      <xdr:row>2</xdr:row>
      <xdr:rowOff>35263</xdr:rowOff>
    </xdr:from>
    <xdr:to>
      <xdr:col>0</xdr:col>
      <xdr:colOff>762156</xdr:colOff>
      <xdr:row>3</xdr:row>
      <xdr:rowOff>176267</xdr:rowOff>
    </xdr:to>
    <xdr:pic>
      <xdr:nvPicPr>
        <xdr:cNvPr id="13" name="Picture 12" descr="Salary ">
          <a:extLst>
            <a:ext uri="{FF2B5EF4-FFF2-40B4-BE49-F238E27FC236}">
              <a16:creationId xmlns:a16="http://schemas.microsoft.com/office/drawing/2014/main" id="{D33FD74C-46C7-4FDA-9266-EB7F6A031AC1}"/>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51393" y="587713"/>
          <a:ext cx="410763" cy="325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791839</xdr:colOff>
      <xdr:row>2</xdr:row>
      <xdr:rowOff>61814</xdr:rowOff>
    </xdr:from>
    <xdr:to>
      <xdr:col>2</xdr:col>
      <xdr:colOff>333168</xdr:colOff>
      <xdr:row>4</xdr:row>
      <xdr:rowOff>63955</xdr:rowOff>
    </xdr:to>
    <xdr:sp macro="" textlink="">
      <xdr:nvSpPr>
        <xdr:cNvPr id="14" name="TextBox 13">
          <a:extLst>
            <a:ext uri="{FF2B5EF4-FFF2-40B4-BE49-F238E27FC236}">
              <a16:creationId xmlns:a16="http://schemas.microsoft.com/office/drawing/2014/main" id="{A61F8393-4051-48C6-BB90-539C444B656B}"/>
            </a:ext>
          </a:extLst>
        </xdr:cNvPr>
        <xdr:cNvSpPr txBox="1"/>
      </xdr:nvSpPr>
      <xdr:spPr>
        <a:xfrm>
          <a:off x="791839" y="614264"/>
          <a:ext cx="1484429" cy="370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1">
                  <a:lumMod val="75000"/>
                </a:schemeClr>
              </a:solidFill>
              <a:latin typeface="Times New Roman" panose="02020603050405020304" pitchFamily="18" charset="0"/>
              <a:cs typeface="Times New Roman" panose="02020603050405020304" pitchFamily="18" charset="0"/>
            </a:rPr>
            <a:t>Total</a:t>
          </a:r>
          <a:r>
            <a:rPr lang="en-IN" sz="1600" baseline="0">
              <a:solidFill>
                <a:schemeClr val="accent1">
                  <a:lumMod val="75000"/>
                </a:schemeClr>
              </a:solidFill>
              <a:latin typeface="Times New Roman" panose="02020603050405020304" pitchFamily="18" charset="0"/>
              <a:cs typeface="Times New Roman" panose="02020603050405020304" pitchFamily="18" charset="0"/>
            </a:rPr>
            <a:t> </a:t>
          </a:r>
          <a:r>
            <a:rPr lang="en-IN" sz="1600">
              <a:solidFill>
                <a:schemeClr val="accent1">
                  <a:lumMod val="75000"/>
                </a:schemeClr>
              </a:solidFill>
              <a:latin typeface="Times New Roman" panose="02020603050405020304" pitchFamily="18" charset="0"/>
              <a:cs typeface="Times New Roman" panose="02020603050405020304" pitchFamily="18" charset="0"/>
            </a:rPr>
            <a:t>Revenue</a:t>
          </a:r>
        </a:p>
      </xdr:txBody>
    </xdr:sp>
    <xdr:clientData/>
  </xdr:twoCellAnchor>
  <xdr:twoCellAnchor>
    <xdr:from>
      <xdr:col>6</xdr:col>
      <xdr:colOff>305670</xdr:colOff>
      <xdr:row>1</xdr:row>
      <xdr:rowOff>146232</xdr:rowOff>
    </xdr:from>
    <xdr:to>
      <xdr:col>10</xdr:col>
      <xdr:colOff>268990</xdr:colOff>
      <xdr:row>7</xdr:row>
      <xdr:rowOff>87340</xdr:rowOff>
    </xdr:to>
    <xdr:sp macro="" textlink="[1]PIvot_KPI!B5">
      <xdr:nvSpPr>
        <xdr:cNvPr id="15" name="Rectangle: Rounded Corners 14">
          <a:extLst>
            <a:ext uri="{FF2B5EF4-FFF2-40B4-BE49-F238E27FC236}">
              <a16:creationId xmlns:a16="http://schemas.microsoft.com/office/drawing/2014/main" id="{BBC3A9F7-B3A7-4B76-B96B-6478C3327315}"/>
            </a:ext>
          </a:extLst>
        </xdr:cNvPr>
        <xdr:cNvSpPr/>
      </xdr:nvSpPr>
      <xdr:spPr>
        <a:xfrm>
          <a:off x="5182470" y="514532"/>
          <a:ext cx="2401720" cy="1046008"/>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2400" b="1" i="0" u="none" strike="noStrike" cap="none" spc="0">
              <a:ln w="0">
                <a:noFill/>
              </a:ln>
              <a:solidFill>
                <a:schemeClr val="accent2">
                  <a:lumMod val="75000"/>
                </a:schemeClr>
              </a:solidFill>
              <a:effectLst/>
              <a:latin typeface="Times New Roman" panose="02020603050405020304" pitchFamily="18" charset="0"/>
              <a:ea typeface="Calibri"/>
              <a:cs typeface="Times New Roman" panose="02020603050405020304" pitchFamily="18" charset="0"/>
            </a:rPr>
            <a:t> </a:t>
          </a:r>
          <a:fld id="{3167B56C-E0B5-4F4D-8F28-1724D5E958C4}" type="TxLink">
            <a:rPr lang="en-US" sz="2400" b="1" i="0" u="none" strike="noStrike" cap="none" spc="0">
              <a:ln w="0">
                <a:noFill/>
              </a:ln>
              <a:solidFill>
                <a:schemeClr val="accent2">
                  <a:lumMod val="75000"/>
                </a:schemeClr>
              </a:solidFill>
              <a:effectLst/>
              <a:latin typeface="Times New Roman" panose="02020603050405020304" pitchFamily="18" charset="0"/>
              <a:ea typeface="Calibri"/>
              <a:cs typeface="Times New Roman" panose="02020603050405020304" pitchFamily="18" charset="0"/>
            </a:rPr>
            <a:pPr algn="l"/>
            <a:t>4533</a:t>
          </a:fld>
          <a:endParaRPr lang="en-US" sz="2400" b="1" i="0" u="none" strike="noStrike" cap="none" spc="0">
            <a:ln w="0">
              <a:noFill/>
            </a:ln>
            <a:solidFill>
              <a:schemeClr val="accent2">
                <a:lumMod val="75000"/>
              </a:schemeClr>
            </a:solidFill>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10</xdr:col>
      <xdr:colOff>392356</xdr:colOff>
      <xdr:row>1</xdr:row>
      <xdr:rowOff>135590</xdr:rowOff>
    </xdr:from>
    <xdr:to>
      <xdr:col>14</xdr:col>
      <xdr:colOff>361182</xdr:colOff>
      <xdr:row>7</xdr:row>
      <xdr:rowOff>77202</xdr:rowOff>
    </xdr:to>
    <xdr:sp macro="" textlink="[1]PIvot_KPI!B11">
      <xdr:nvSpPr>
        <xdr:cNvPr id="16" name="Rectangle: Rounded Corners 15">
          <a:extLst>
            <a:ext uri="{FF2B5EF4-FFF2-40B4-BE49-F238E27FC236}">
              <a16:creationId xmlns:a16="http://schemas.microsoft.com/office/drawing/2014/main" id="{03B9BBA5-392F-4EBC-A2E7-8D5B28D80553}"/>
            </a:ext>
          </a:extLst>
        </xdr:cNvPr>
        <xdr:cNvSpPr/>
      </xdr:nvSpPr>
      <xdr:spPr>
        <a:xfrm>
          <a:off x="7707556" y="503890"/>
          <a:ext cx="2407226" cy="1046512"/>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2400" b="1" i="0" u="none" strike="noStrike" cap="none" spc="0">
              <a:ln w="0">
                <a:noFill/>
              </a:ln>
              <a:solidFill>
                <a:schemeClr val="accent2">
                  <a:lumMod val="75000"/>
                </a:schemeClr>
              </a:solidFill>
              <a:effectLst/>
              <a:latin typeface="Times New Roman" panose="02020603050405020304" pitchFamily="18" charset="0"/>
              <a:ea typeface="Calibri"/>
              <a:cs typeface="Times New Roman" panose="02020603050405020304" pitchFamily="18" charset="0"/>
            </a:rPr>
            <a:t> </a:t>
          </a:r>
          <a:fld id="{9C2277F9-70F9-4DD6-B81D-9A3818836AE7}" type="TxLink">
            <a:rPr lang="en-US" sz="2400" b="1" i="0" u="none" strike="noStrike" cap="none" spc="0">
              <a:ln w="0">
                <a:noFill/>
              </a:ln>
              <a:solidFill>
                <a:schemeClr val="accent2">
                  <a:lumMod val="75000"/>
                </a:schemeClr>
              </a:solidFill>
              <a:effectLst/>
              <a:latin typeface="Times New Roman" panose="02020603050405020304" pitchFamily="18" charset="0"/>
              <a:ea typeface="Calibri"/>
              <a:cs typeface="Times New Roman" panose="02020603050405020304" pitchFamily="18" charset="0"/>
            </a:rPr>
            <a:pPr algn="l"/>
            <a:t>30.73%</a:t>
          </a:fld>
          <a:endParaRPr lang="en-US" sz="2400" b="1" i="0" u="none" strike="noStrike" cap="none" spc="0">
            <a:ln w="0">
              <a:noFill/>
            </a:ln>
            <a:solidFill>
              <a:schemeClr val="accent2">
                <a:lumMod val="75000"/>
              </a:schemeClr>
            </a:solidFill>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3</xdr:col>
      <xdr:colOff>224380</xdr:colOff>
      <xdr:row>2</xdr:row>
      <xdr:rowOff>108768</xdr:rowOff>
    </xdr:from>
    <xdr:to>
      <xdr:col>5</xdr:col>
      <xdr:colOff>606248</xdr:colOff>
      <xdr:row>4</xdr:row>
      <xdr:rowOff>77019</xdr:rowOff>
    </xdr:to>
    <xdr:sp macro="" textlink="">
      <xdr:nvSpPr>
        <xdr:cNvPr id="17" name="TextBox 16">
          <a:extLst>
            <a:ext uri="{FF2B5EF4-FFF2-40B4-BE49-F238E27FC236}">
              <a16:creationId xmlns:a16="http://schemas.microsoft.com/office/drawing/2014/main" id="{4A3BBD6A-CB66-4142-81E7-D7AE1A2F2212}"/>
            </a:ext>
          </a:extLst>
        </xdr:cNvPr>
        <xdr:cNvSpPr txBox="1"/>
      </xdr:nvSpPr>
      <xdr:spPr>
        <a:xfrm>
          <a:off x="3272380" y="661218"/>
          <a:ext cx="1601068" cy="336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1">
                  <a:lumMod val="75000"/>
                </a:schemeClr>
              </a:solidFill>
              <a:latin typeface="Times New Roman" panose="02020603050405020304" pitchFamily="18" charset="0"/>
              <a:cs typeface="Times New Roman" panose="02020603050405020304" pitchFamily="18" charset="0"/>
            </a:rPr>
            <a:t>Total</a:t>
          </a:r>
          <a:r>
            <a:rPr lang="en-IN" sz="1600" baseline="0">
              <a:solidFill>
                <a:schemeClr val="accent1">
                  <a:lumMod val="75000"/>
                </a:schemeClr>
              </a:solidFill>
              <a:latin typeface="Times New Roman" panose="02020603050405020304" pitchFamily="18" charset="0"/>
              <a:cs typeface="Times New Roman" panose="02020603050405020304" pitchFamily="18" charset="0"/>
            </a:rPr>
            <a:t> Profit</a:t>
          </a:r>
        </a:p>
        <a:p>
          <a:endParaRPr lang="en-IN" sz="1600">
            <a:solidFill>
              <a:schemeClr val="accent1">
                <a:lumMod val="75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899302</xdr:colOff>
      <xdr:row>2</xdr:row>
      <xdr:rowOff>40255</xdr:rowOff>
    </xdr:from>
    <xdr:to>
      <xdr:col>3</xdr:col>
      <xdr:colOff>159957</xdr:colOff>
      <xdr:row>4</xdr:row>
      <xdr:rowOff>39618</xdr:rowOff>
    </xdr:to>
    <xdr:pic>
      <xdr:nvPicPr>
        <xdr:cNvPr id="18" name="Picture 17">
          <a:extLst>
            <a:ext uri="{FF2B5EF4-FFF2-40B4-BE49-F238E27FC236}">
              <a16:creationId xmlns:a16="http://schemas.microsoft.com/office/drawing/2014/main" id="{5C2B4D29-8410-4243-B697-A6048E1DB0AA}"/>
            </a:ext>
          </a:extLst>
        </xdr:cNvPr>
        <xdr:cNvPicPr>
          <a:picLocks noChangeAspect="1"/>
        </xdr:cNvPicPr>
      </xdr:nvPicPr>
      <xdr:blipFill>
        <a:blip xmlns:r="http://schemas.openxmlformats.org/officeDocument/2006/relationships" r:embed="rId7"/>
        <a:stretch>
          <a:fillRect/>
        </a:stretch>
      </xdr:blipFill>
      <xdr:spPr>
        <a:xfrm>
          <a:off x="2842402" y="592705"/>
          <a:ext cx="365555" cy="367663"/>
        </a:xfrm>
        <a:prstGeom prst="rect">
          <a:avLst/>
        </a:prstGeom>
      </xdr:spPr>
    </xdr:pic>
    <xdr:clientData/>
  </xdr:twoCellAnchor>
  <xdr:twoCellAnchor>
    <xdr:from>
      <xdr:col>7</xdr:col>
      <xdr:colOff>308163</xdr:colOff>
      <xdr:row>2</xdr:row>
      <xdr:rowOff>121398</xdr:rowOff>
    </xdr:from>
    <xdr:to>
      <xdr:col>9</xdr:col>
      <xdr:colOff>382869</xdr:colOff>
      <xdr:row>4</xdr:row>
      <xdr:rowOff>130736</xdr:rowOff>
    </xdr:to>
    <xdr:sp macro="" textlink="">
      <xdr:nvSpPr>
        <xdr:cNvPr id="19" name="TextBox 18">
          <a:extLst>
            <a:ext uri="{FF2B5EF4-FFF2-40B4-BE49-F238E27FC236}">
              <a16:creationId xmlns:a16="http://schemas.microsoft.com/office/drawing/2014/main" id="{574B6D60-2783-4DC4-90C7-40EE3C47AB97}"/>
            </a:ext>
          </a:extLst>
        </xdr:cNvPr>
        <xdr:cNvSpPr txBox="1"/>
      </xdr:nvSpPr>
      <xdr:spPr>
        <a:xfrm>
          <a:off x="5794563" y="673848"/>
          <a:ext cx="1293906" cy="377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a:solidFill>
                <a:schemeClr val="accent1">
                  <a:lumMod val="75000"/>
                </a:schemeClr>
              </a:solidFill>
              <a:latin typeface="Times New Roman" panose="02020603050405020304" pitchFamily="18" charset="0"/>
              <a:cs typeface="Times New Roman" panose="02020603050405020304" pitchFamily="18" charset="0"/>
            </a:rPr>
            <a:t>Units Sold</a:t>
          </a:r>
        </a:p>
      </xdr:txBody>
    </xdr:sp>
    <xdr:clientData/>
  </xdr:twoCellAnchor>
  <xdr:twoCellAnchor editAs="oneCell">
    <xdr:from>
      <xdr:col>6</xdr:col>
      <xdr:colOff>466912</xdr:colOff>
      <xdr:row>2</xdr:row>
      <xdr:rowOff>93383</xdr:rowOff>
    </xdr:from>
    <xdr:to>
      <xdr:col>7</xdr:col>
      <xdr:colOff>273927</xdr:colOff>
      <xdr:row>4</xdr:row>
      <xdr:rowOff>140987</xdr:rowOff>
    </xdr:to>
    <xdr:pic>
      <xdr:nvPicPr>
        <xdr:cNvPr id="20" name="Picture 19" descr="Sold ">
          <a:extLst>
            <a:ext uri="{FF2B5EF4-FFF2-40B4-BE49-F238E27FC236}">
              <a16:creationId xmlns:a16="http://schemas.microsoft.com/office/drawing/2014/main" id="{95462310-F16D-447F-9461-D03E20AEC39B}"/>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343712" y="645833"/>
          <a:ext cx="416615" cy="415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373528</xdr:colOff>
      <xdr:row>2</xdr:row>
      <xdr:rowOff>140074</xdr:rowOff>
    </xdr:from>
    <xdr:to>
      <xdr:col>14</xdr:col>
      <xdr:colOff>317498</xdr:colOff>
      <xdr:row>4</xdr:row>
      <xdr:rowOff>112059</xdr:rowOff>
    </xdr:to>
    <xdr:sp macro="" textlink="">
      <xdr:nvSpPr>
        <xdr:cNvPr id="21" name="TextBox 20">
          <a:extLst>
            <a:ext uri="{FF2B5EF4-FFF2-40B4-BE49-F238E27FC236}">
              <a16:creationId xmlns:a16="http://schemas.microsoft.com/office/drawing/2014/main" id="{82023643-EF27-4DB6-B94D-E9315A063C7B}"/>
            </a:ext>
          </a:extLst>
        </xdr:cNvPr>
        <xdr:cNvSpPr txBox="1"/>
      </xdr:nvSpPr>
      <xdr:spPr>
        <a:xfrm>
          <a:off x="8298328" y="692524"/>
          <a:ext cx="1772770" cy="340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1">
                  <a:lumMod val="75000"/>
                </a:schemeClr>
              </a:solidFill>
              <a:latin typeface="Times New Roman" panose="02020603050405020304" pitchFamily="18" charset="0"/>
              <a:cs typeface="Times New Roman" panose="02020603050405020304" pitchFamily="18" charset="0"/>
            </a:rPr>
            <a:t>Profit</a:t>
          </a:r>
          <a:r>
            <a:rPr lang="en-IN" sz="1600" baseline="0">
              <a:solidFill>
                <a:schemeClr val="accent1">
                  <a:lumMod val="75000"/>
                </a:schemeClr>
              </a:solidFill>
              <a:latin typeface="Times New Roman" panose="02020603050405020304" pitchFamily="18" charset="0"/>
              <a:cs typeface="Times New Roman" panose="02020603050405020304" pitchFamily="18" charset="0"/>
            </a:rPr>
            <a:t> Margin</a:t>
          </a:r>
          <a:endParaRPr lang="en-IN" sz="1600">
            <a:solidFill>
              <a:schemeClr val="accent1">
                <a:lumMod val="75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10</xdr:col>
      <xdr:colOff>569207</xdr:colOff>
      <xdr:row>2</xdr:row>
      <xdr:rowOff>102503</xdr:rowOff>
    </xdr:from>
    <xdr:to>
      <xdr:col>11</xdr:col>
      <xdr:colOff>326838</xdr:colOff>
      <xdr:row>4</xdr:row>
      <xdr:rowOff>93590</xdr:rowOff>
    </xdr:to>
    <xdr:pic>
      <xdr:nvPicPr>
        <xdr:cNvPr id="22" name="Picture 21">
          <a:extLst>
            <a:ext uri="{FF2B5EF4-FFF2-40B4-BE49-F238E27FC236}">
              <a16:creationId xmlns:a16="http://schemas.microsoft.com/office/drawing/2014/main" id="{409C3DDF-167F-4331-B141-CE3710BD1451}"/>
            </a:ext>
          </a:extLst>
        </xdr:cNvPr>
        <xdr:cNvPicPr>
          <a:picLocks noChangeAspect="1"/>
        </xdr:cNvPicPr>
      </xdr:nvPicPr>
      <xdr:blipFill>
        <a:blip xmlns:r="http://schemas.openxmlformats.org/officeDocument/2006/relationships" r:embed="rId9"/>
        <a:stretch>
          <a:fillRect/>
        </a:stretch>
      </xdr:blipFill>
      <xdr:spPr>
        <a:xfrm>
          <a:off x="7884407" y="654953"/>
          <a:ext cx="367231" cy="359387"/>
        </a:xfrm>
        <a:prstGeom prst="rect">
          <a:avLst/>
        </a:prstGeom>
      </xdr:spPr>
    </xdr:pic>
    <xdr:clientData/>
  </xdr:twoCellAnchor>
  <xdr:twoCellAnchor>
    <xdr:from>
      <xdr:col>14</xdr:col>
      <xdr:colOff>487590</xdr:colOff>
      <xdr:row>1</xdr:row>
      <xdr:rowOff>113392</xdr:rowOff>
    </xdr:from>
    <xdr:to>
      <xdr:col>18</xdr:col>
      <xdr:colOff>456415</xdr:colOff>
      <xdr:row>7</xdr:row>
      <xdr:rowOff>55004</xdr:rowOff>
    </xdr:to>
    <xdr:sp macro="" textlink="[1]PIvot_KPI!B6">
      <xdr:nvSpPr>
        <xdr:cNvPr id="23" name="Rectangle: Rounded Corners 22">
          <a:extLst>
            <a:ext uri="{FF2B5EF4-FFF2-40B4-BE49-F238E27FC236}">
              <a16:creationId xmlns:a16="http://schemas.microsoft.com/office/drawing/2014/main" id="{6075C0D3-4FF7-4B49-A28B-9A564F4F970E}"/>
            </a:ext>
          </a:extLst>
        </xdr:cNvPr>
        <xdr:cNvSpPr/>
      </xdr:nvSpPr>
      <xdr:spPr>
        <a:xfrm>
          <a:off x="10241190" y="481692"/>
          <a:ext cx="2407225" cy="1046512"/>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2400" b="1" i="0" u="none" strike="noStrike" cap="none" spc="0">
              <a:ln>
                <a:noFill/>
              </a:ln>
              <a:solidFill>
                <a:schemeClr val="accent2">
                  <a:lumMod val="75000"/>
                </a:schemeClr>
              </a:solidFill>
              <a:effectLst/>
              <a:latin typeface="Times New Roman" panose="02020603050405020304" pitchFamily="18" charset="0"/>
              <a:ea typeface="Calibri"/>
              <a:cs typeface="Times New Roman" panose="02020603050405020304" pitchFamily="18" charset="0"/>
            </a:rPr>
            <a:t> </a:t>
          </a:r>
          <a:fld id="{0D41111F-F2E2-450F-9718-26C7DCC86F42}" type="TxLink">
            <a:rPr lang="en-US" sz="2400" b="1" i="0" u="none" strike="noStrike" cap="none" spc="0">
              <a:ln>
                <a:noFill/>
              </a:ln>
              <a:solidFill>
                <a:schemeClr val="accent2">
                  <a:lumMod val="75000"/>
                </a:schemeClr>
              </a:solidFill>
              <a:effectLst/>
              <a:latin typeface="Times New Roman" panose="02020603050405020304" pitchFamily="18" charset="0"/>
              <a:ea typeface="Calibri"/>
              <a:cs typeface="Times New Roman" panose="02020603050405020304" pitchFamily="18" charset="0"/>
            </a:rPr>
            <a:pPr algn="l"/>
            <a:t>1000</a:t>
          </a:fld>
          <a:endParaRPr lang="en-US" sz="2400" b="1" i="0" u="none" strike="noStrike" cap="none" spc="0">
            <a:ln w="0">
              <a:noFill/>
            </a:ln>
            <a:solidFill>
              <a:schemeClr val="accent2">
                <a:lumMod val="75000"/>
              </a:schemeClr>
            </a:solidFill>
            <a:effectLst/>
            <a:latin typeface="Times New Roman" panose="02020603050405020304" pitchFamily="18" charset="0"/>
            <a:ea typeface="Calibri"/>
            <a:cs typeface="Times New Roman" panose="02020603050405020304" pitchFamily="18" charset="0"/>
          </a:endParaRPr>
        </a:p>
      </xdr:txBody>
    </xdr:sp>
    <xdr:clientData/>
  </xdr:twoCellAnchor>
  <xdr:twoCellAnchor>
    <xdr:from>
      <xdr:col>15</xdr:col>
      <xdr:colOff>499351</xdr:colOff>
      <xdr:row>2</xdr:row>
      <xdr:rowOff>113924</xdr:rowOff>
    </xdr:from>
    <xdr:to>
      <xdr:col>18</xdr:col>
      <xdr:colOff>249887</xdr:colOff>
      <xdr:row>4</xdr:row>
      <xdr:rowOff>102585</xdr:rowOff>
    </xdr:to>
    <xdr:sp macro="" textlink="">
      <xdr:nvSpPr>
        <xdr:cNvPr id="24" name="TextBox 23">
          <a:extLst>
            <a:ext uri="{FF2B5EF4-FFF2-40B4-BE49-F238E27FC236}">
              <a16:creationId xmlns:a16="http://schemas.microsoft.com/office/drawing/2014/main" id="{7F36E420-2E9A-449C-9C97-F53D985C48E7}"/>
            </a:ext>
          </a:extLst>
        </xdr:cNvPr>
        <xdr:cNvSpPr txBox="1"/>
      </xdr:nvSpPr>
      <xdr:spPr>
        <a:xfrm>
          <a:off x="10862551" y="666374"/>
          <a:ext cx="1579336" cy="356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1">
                  <a:lumMod val="75000"/>
                </a:schemeClr>
              </a:solidFill>
              <a:latin typeface="Times New Roman" panose="02020603050405020304" pitchFamily="18" charset="0"/>
              <a:cs typeface="Times New Roman" panose="02020603050405020304" pitchFamily="18" charset="0"/>
            </a:rPr>
            <a:t>Total</a:t>
          </a:r>
          <a:r>
            <a:rPr lang="en-IN" sz="1600" baseline="0">
              <a:solidFill>
                <a:schemeClr val="accent1">
                  <a:lumMod val="75000"/>
                </a:schemeClr>
              </a:solidFill>
              <a:latin typeface="Times New Roman" panose="02020603050405020304" pitchFamily="18" charset="0"/>
              <a:cs typeface="Times New Roman" panose="02020603050405020304" pitchFamily="18" charset="0"/>
            </a:rPr>
            <a:t> Orders</a:t>
          </a:r>
        </a:p>
      </xdr:txBody>
    </xdr:sp>
    <xdr:clientData/>
  </xdr:twoCellAnchor>
  <xdr:twoCellAnchor editAs="oneCell">
    <xdr:from>
      <xdr:col>15</xdr:col>
      <xdr:colOff>82370</xdr:colOff>
      <xdr:row>2</xdr:row>
      <xdr:rowOff>93172</xdr:rowOff>
    </xdr:from>
    <xdr:to>
      <xdr:col>15</xdr:col>
      <xdr:colOff>460093</xdr:colOff>
      <xdr:row>4</xdr:row>
      <xdr:rowOff>112757</xdr:rowOff>
    </xdr:to>
    <xdr:pic>
      <xdr:nvPicPr>
        <xdr:cNvPr id="25" name="Picture 24">
          <a:extLst>
            <a:ext uri="{FF2B5EF4-FFF2-40B4-BE49-F238E27FC236}">
              <a16:creationId xmlns:a16="http://schemas.microsoft.com/office/drawing/2014/main" id="{70E5632B-C707-4ACA-8D0D-61D4BCD6A664}"/>
            </a:ext>
          </a:extLst>
        </xdr:cNvPr>
        <xdr:cNvPicPr>
          <a:picLocks noChangeAspect="1"/>
        </xdr:cNvPicPr>
      </xdr:nvPicPr>
      <xdr:blipFill>
        <a:blip xmlns:r="http://schemas.openxmlformats.org/officeDocument/2006/relationships" r:embed="rId10"/>
        <a:stretch>
          <a:fillRect/>
        </a:stretch>
      </xdr:blipFill>
      <xdr:spPr>
        <a:xfrm>
          <a:off x="10445570" y="645622"/>
          <a:ext cx="377723" cy="387885"/>
        </a:xfrm>
        <a:prstGeom prst="rect">
          <a:avLst/>
        </a:prstGeom>
      </xdr:spPr>
    </xdr:pic>
    <xdr:clientData/>
  </xdr:twoCellAnchor>
  <xdr:twoCellAnchor>
    <xdr:from>
      <xdr:col>3</xdr:col>
      <xdr:colOff>512571</xdr:colOff>
      <xdr:row>22</xdr:row>
      <xdr:rowOff>103219</xdr:rowOff>
    </xdr:from>
    <xdr:to>
      <xdr:col>10</xdr:col>
      <xdr:colOff>141729</xdr:colOff>
      <xdr:row>37</xdr:row>
      <xdr:rowOff>74706</xdr:rowOff>
    </xdr:to>
    <xdr:graphicFrame macro="">
      <xdr:nvGraphicFramePr>
        <xdr:cNvPr id="26" name="Chart 25">
          <a:extLst>
            <a:ext uri="{FF2B5EF4-FFF2-40B4-BE49-F238E27FC236}">
              <a16:creationId xmlns:a16="http://schemas.microsoft.com/office/drawing/2014/main" id="{E41576FC-77E2-49CA-9C6C-4C17658E1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ayal%20More\Downloads\FreshMart_Retail_Sales_Dataset.xlsx" TargetMode="External"/><Relationship Id="rId1" Type="http://schemas.openxmlformats.org/officeDocument/2006/relationships/externalLinkPath" Target="file:///C:\Users\Payal%20More\Downloads\FreshMart_Retail_Sales_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les_Data"/>
      <sheetName val="FreshMart Sales Report 2025"/>
      <sheetName val="PIvot_KPI"/>
      <sheetName val="Best Sellers"/>
      <sheetName val="Product sales"/>
      <sheetName val="Region Vs. Sales"/>
      <sheetName val="Salesperson Vs. Sales"/>
      <sheetName val="Monthly Trends"/>
      <sheetName val="Category Performance"/>
      <sheetName val="Discouts"/>
      <sheetName val="Sales_Data Backup"/>
      <sheetName val="My learning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ow r="16">
          <cell r="A16" t="str">
            <v>Laptop</v>
          </cell>
          <cell r="B16">
            <v>9.9462365591397841</v>
          </cell>
          <cell r="C16">
            <v>7178542.049999998</v>
          </cell>
        </row>
        <row r="17">
          <cell r="A17" t="str">
            <v>Phone</v>
          </cell>
          <cell r="B17">
            <v>10.588235294117647</v>
          </cell>
          <cell r="C17">
            <v>3163740.2800000003</v>
          </cell>
        </row>
        <row r="18">
          <cell r="A18" t="str">
            <v>Desk</v>
          </cell>
          <cell r="B18">
            <v>11.336633663366337</v>
          </cell>
          <cell r="C18">
            <v>1075044.3899999999</v>
          </cell>
        </row>
        <row r="19">
          <cell r="A19" t="str">
            <v>Chair</v>
          </cell>
          <cell r="B19">
            <v>9.8989898989898997</v>
          </cell>
          <cell r="C19">
            <v>543410.91999999993</v>
          </cell>
        </row>
        <row r="20">
          <cell r="A20" t="str">
            <v>Headphones</v>
          </cell>
          <cell r="B20">
            <v>10.047169811320755</v>
          </cell>
          <cell r="C20">
            <v>333062.17000000022</v>
          </cell>
        </row>
        <row r="21">
          <cell r="A21" t="str">
            <v>Backpack</v>
          </cell>
          <cell r="B21">
            <v>10.199999999999999</v>
          </cell>
          <cell r="C21">
            <v>186654.46999999994</v>
          </cell>
        </row>
        <row r="22">
          <cell r="A22" t="str">
            <v>Mouse</v>
          </cell>
          <cell r="B22">
            <v>9.9553571428571423</v>
          </cell>
          <cell r="C22">
            <v>121969.00999999998</v>
          </cell>
        </row>
        <row r="23">
          <cell r="A23" t="str">
            <v>Bottle</v>
          </cell>
          <cell r="B23">
            <v>9.4949494949494948</v>
          </cell>
          <cell r="C23">
            <v>57454.89999999998</v>
          </cell>
        </row>
        <row r="24">
          <cell r="A24" t="str">
            <v>Notebook</v>
          </cell>
          <cell r="B24">
            <v>10.511363636363637</v>
          </cell>
          <cell r="C24">
            <v>12024.97</v>
          </cell>
        </row>
        <row r="25">
          <cell r="A25" t="str">
            <v>Pen</v>
          </cell>
          <cell r="B25">
            <v>10.199999999999999</v>
          </cell>
          <cell r="C25">
            <v>3433.6300000000006</v>
          </cell>
        </row>
      </sheetData>
      <sheetData sheetId="10" refreshError="1"/>
      <sheetData sheetId="11"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Payal%20More\Downloads\FreshMart_Retail_Sales_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yal More" refreshedDate="46207.878422106478" createdVersion="8" refreshedVersion="8" minRefreshableVersion="3" recordCount="1000" xr:uid="{230A7E76-35B4-488B-80FB-43D725D8B11E}">
  <cacheSource type="worksheet">
    <worksheetSource name="Sales_Data" r:id="rId2"/>
  </cacheSource>
  <cacheFields count="16">
    <cacheField name="Order ID" numFmtId="0">
      <sharedItems/>
    </cacheField>
    <cacheField name="Order Date" numFmtId="14">
      <sharedItems/>
    </cacheField>
    <cacheField name="Month" numFmtId="14">
      <sharedItems count="12">
        <s v="April"/>
        <s v="August"/>
        <s v="December"/>
        <s v="February"/>
        <s v="January"/>
        <s v="July"/>
        <s v="June"/>
        <s v="March"/>
        <s v="May"/>
        <s v="November"/>
        <s v="October"/>
        <s v="September"/>
      </sharedItems>
    </cacheField>
    <cacheField name="Quarter" numFmtId="14">
      <sharedItems/>
    </cacheField>
    <cacheField name="Region" numFmtId="0">
      <sharedItems count="4">
        <s v="West"/>
        <s v="South"/>
        <s v="North"/>
        <s v="East"/>
      </sharedItems>
    </cacheField>
    <cacheField name="Salesperson" numFmtId="0">
      <sharedItems count="6">
        <s v="Arjun"/>
        <s v="Rahul"/>
        <s v="Priya"/>
        <s v="Neha"/>
        <s v="Karan"/>
        <s v="Aisha"/>
      </sharedItems>
    </cacheField>
    <cacheField name="Customer ID " numFmtId="0">
      <sharedItems/>
    </cacheField>
    <cacheField name="Product" numFmtId="0">
      <sharedItems count="10">
        <s v="Pen"/>
        <s v="Phone"/>
        <s v="Chair"/>
        <s v="Notebook"/>
        <s v="Headphones"/>
        <s v="Mouse"/>
        <s v="Laptop"/>
        <s v="Desk"/>
        <s v="Backpack"/>
        <s v="Bottle"/>
      </sharedItems>
    </cacheField>
    <cacheField name="Category" numFmtId="0">
      <sharedItems count="4">
        <s v="Stationery"/>
        <s v="Electronics"/>
        <s v="Furniture"/>
        <s v="Accessories"/>
      </sharedItems>
    </cacheField>
    <cacheField name="Quantity" numFmtId="1">
      <sharedItems containsSemiMixedTypes="0" containsString="0" containsNumber="1" containsInteger="1" minValue="1" maxValue="8"/>
    </cacheField>
    <cacheField name="Unit Price" numFmtId="164">
      <sharedItems containsSemiMixedTypes="0" containsString="0" containsNumber="1" minValue="27.03" maxValue="65964.289999999994"/>
    </cacheField>
    <cacheField name="Discount %" numFmtId="0">
      <sharedItems containsSemiMixedTypes="0" containsString="0" containsNumber="1" containsInteger="1" minValue="0" maxValue="20"/>
    </cacheField>
    <cacheField name="Revenue" numFmtId="44">
      <sharedItems containsSemiMixedTypes="0" containsString="0" containsNumber="1" minValue="24.57" maxValue="522865.12"/>
    </cacheField>
    <cacheField name="Cost" numFmtId="44">
      <sharedItems containsSemiMixedTypes="0" containsString="0" containsNumber="1" minValue="17.09" maxValue="392025.12"/>
    </cacheField>
    <cacheField name="Profit" numFmtId="44">
      <sharedItems containsSemiMixedTypes="0" containsString="0" containsNumber="1" minValue="3.89" maxValue="225672.74"/>
    </cacheField>
    <cacheField name="Profit Margin" numFmtId="10">
      <sharedItems containsSemiMixedTypes="0" containsString="0" containsNumber="1" minValue="0.15007716049382716" maxValue="0.44978286450351845"/>
    </cacheField>
  </cacheFields>
  <extLst>
    <ext xmlns:x14="http://schemas.microsoft.com/office/spreadsheetml/2009/9/main" uri="{725AE2AE-9491-48be-B2B4-4EB974FC3084}">
      <x14:pivotCacheDefinition pivotCacheId="145807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68"/>
    <s v="2025-04-10"/>
    <x v="0"/>
    <s v="Q2"/>
    <x v="0"/>
    <x v="0"/>
    <s v="Customer 40"/>
    <x v="0"/>
    <x v="0"/>
    <n v="5"/>
    <n v="32.33"/>
    <n v="20"/>
    <n v="129.32"/>
    <n v="74.28"/>
    <n v="55.04"/>
    <n v="0.42561088772038358"/>
  </r>
  <r>
    <s v="ORD0096"/>
    <s v="2025-04-17"/>
    <x v="0"/>
    <s v="Q2"/>
    <x v="1"/>
    <x v="1"/>
    <s v="Customer 16"/>
    <x v="1"/>
    <x v="1"/>
    <n v="2"/>
    <n v="23300.66"/>
    <n v="20"/>
    <n v="37281.06"/>
    <n v="30310.31"/>
    <n v="6970.75"/>
    <n v="0.18697832089538227"/>
  </r>
  <r>
    <s v="ORD0120"/>
    <s v="2025-04-11"/>
    <x v="0"/>
    <s v="Q2"/>
    <x v="2"/>
    <x v="2"/>
    <s v="Customer 24"/>
    <x v="2"/>
    <x v="2"/>
    <n v="6"/>
    <n v="4806.49"/>
    <n v="20"/>
    <n v="23071.15"/>
    <n v="15096.7"/>
    <n v="7974.45"/>
    <n v="0.34564596909993645"/>
  </r>
  <r>
    <s v="ORD0178"/>
    <s v="2025-04-01"/>
    <x v="0"/>
    <s v="Q2"/>
    <x v="1"/>
    <x v="1"/>
    <s v="Customer 48"/>
    <x v="1"/>
    <x v="1"/>
    <n v="2"/>
    <n v="26835.64"/>
    <n v="20"/>
    <n v="42937.02"/>
    <n v="30276.02"/>
    <n v="12661"/>
    <n v="0.29487374764247731"/>
  </r>
  <r>
    <s v="ORD0230"/>
    <s v="2025-04-11"/>
    <x v="0"/>
    <s v="Q2"/>
    <x v="2"/>
    <x v="3"/>
    <s v="Customer 50"/>
    <x v="3"/>
    <x v="0"/>
    <n v="2"/>
    <n v="128.82"/>
    <n v="20"/>
    <n v="206.11"/>
    <n v="141.16999999999999"/>
    <n v="64.94"/>
    <n v="0.31507447479501233"/>
  </r>
  <r>
    <s v="ORD0330"/>
    <s v="2025-04-11"/>
    <x v="0"/>
    <s v="Q2"/>
    <x v="1"/>
    <x v="4"/>
    <s v="Customer 18"/>
    <x v="4"/>
    <x v="1"/>
    <n v="3"/>
    <n v="2357.79"/>
    <n v="20"/>
    <n v="5658.7"/>
    <n v="3459.29"/>
    <n v="2199.41"/>
    <n v="0.38867761146553093"/>
  </r>
  <r>
    <s v="ORD0518"/>
    <s v="2025-04-07"/>
    <x v="0"/>
    <s v="Q2"/>
    <x v="1"/>
    <x v="5"/>
    <s v="Customer 15"/>
    <x v="5"/>
    <x v="1"/>
    <n v="6"/>
    <n v="960.81"/>
    <n v="20"/>
    <n v="4611.8900000000003"/>
    <n v="3185.94"/>
    <n v="1425.95"/>
    <n v="0.30918994165081992"/>
  </r>
  <r>
    <s v="ORD0561"/>
    <s v="2025-04-14"/>
    <x v="0"/>
    <s v="Q2"/>
    <x v="1"/>
    <x v="3"/>
    <s v="Customer 30"/>
    <x v="2"/>
    <x v="2"/>
    <n v="5"/>
    <n v="4405.8599999999997"/>
    <n v="20"/>
    <n v="17623.439999999999"/>
    <n v="10329.92"/>
    <n v="7293.52"/>
    <n v="0.41385336801441724"/>
  </r>
  <r>
    <s v="ORD0638"/>
    <s v="2025-04-26"/>
    <x v="0"/>
    <s v="Q2"/>
    <x v="3"/>
    <x v="1"/>
    <s v="Customer 40"/>
    <x v="4"/>
    <x v="1"/>
    <n v="5"/>
    <n v="2648.74"/>
    <n v="20"/>
    <n v="10594.96"/>
    <n v="7428.25"/>
    <n v="3166.71"/>
    <n v="0.29888833936135673"/>
  </r>
  <r>
    <s v="ORD0650"/>
    <s v="2025-04-27"/>
    <x v="0"/>
    <s v="Q2"/>
    <x v="3"/>
    <x v="4"/>
    <s v="Customer 18"/>
    <x v="0"/>
    <x v="0"/>
    <n v="2"/>
    <n v="32.21"/>
    <n v="20"/>
    <n v="51.54"/>
    <n v="34.86"/>
    <n v="16.68"/>
    <n v="0.32363213038416766"/>
  </r>
  <r>
    <s v="ORD0677"/>
    <s v="2025-04-18"/>
    <x v="0"/>
    <s v="Q2"/>
    <x v="2"/>
    <x v="1"/>
    <s v="Customer 28"/>
    <x v="4"/>
    <x v="1"/>
    <n v="4"/>
    <n v="2393.3200000000002"/>
    <n v="20"/>
    <n v="7658.62"/>
    <n v="5300.73"/>
    <n v="2357.89"/>
    <n v="0.30787400341053611"/>
  </r>
  <r>
    <s v="ORD0712"/>
    <s v="2025-04-29"/>
    <x v="0"/>
    <s v="Q2"/>
    <x v="2"/>
    <x v="4"/>
    <s v="Customer 47"/>
    <x v="3"/>
    <x v="0"/>
    <n v="6"/>
    <n v="117.87"/>
    <n v="20"/>
    <n v="565.78"/>
    <n v="469.45"/>
    <n v="96.33"/>
    <n v="0.17026052529251653"/>
  </r>
  <r>
    <s v="ORD0749"/>
    <s v="2025-04-04"/>
    <x v="0"/>
    <s v="Q2"/>
    <x v="0"/>
    <x v="1"/>
    <s v="Customer 14"/>
    <x v="2"/>
    <x v="2"/>
    <n v="4"/>
    <n v="4623.26"/>
    <n v="20"/>
    <n v="14794.43"/>
    <n v="11873.03"/>
    <n v="2921.4"/>
    <n v="0.19746620856633207"/>
  </r>
  <r>
    <s v="ORD0804"/>
    <s v="2025-04-30"/>
    <x v="0"/>
    <s v="Q2"/>
    <x v="0"/>
    <x v="3"/>
    <s v="Customer 37"/>
    <x v="6"/>
    <x v="1"/>
    <n v="5"/>
    <n v="63086.23"/>
    <n v="20"/>
    <n v="252344.92"/>
    <n v="184056.72"/>
    <n v="68288.2"/>
    <n v="0.27061452237675321"/>
  </r>
  <r>
    <s v="ORD0847"/>
    <s v="2025-04-07"/>
    <x v="0"/>
    <s v="Q2"/>
    <x v="3"/>
    <x v="4"/>
    <s v="Customer 41"/>
    <x v="4"/>
    <x v="1"/>
    <n v="1"/>
    <n v="2446.52"/>
    <n v="20"/>
    <n v="1957.22"/>
    <n v="1310.06"/>
    <n v="647.16"/>
    <n v="0.33065266040608615"/>
  </r>
  <r>
    <s v="ORD0876"/>
    <s v="2025-04-02"/>
    <x v="0"/>
    <s v="Q2"/>
    <x v="2"/>
    <x v="3"/>
    <s v="Customer 44"/>
    <x v="7"/>
    <x v="2"/>
    <n v="4"/>
    <n v="8685.8700000000008"/>
    <n v="20"/>
    <n v="27794.78"/>
    <n v="17322.84"/>
    <n v="10471.94"/>
    <n v="0.37675923320853777"/>
  </r>
  <r>
    <s v="ORD0917"/>
    <s v="2025-04-12"/>
    <x v="0"/>
    <s v="Q2"/>
    <x v="0"/>
    <x v="3"/>
    <s v="Customer 10"/>
    <x v="1"/>
    <x v="1"/>
    <n v="7"/>
    <n v="22976.41"/>
    <n v="20"/>
    <n v="128667.9"/>
    <n v="103290.62"/>
    <n v="25377.279999999999"/>
    <n v="0.19723085555915656"/>
  </r>
  <r>
    <s v="ORD0950"/>
    <s v="2025-04-05"/>
    <x v="0"/>
    <s v="Q2"/>
    <x v="3"/>
    <x v="4"/>
    <s v="Customer 7"/>
    <x v="7"/>
    <x v="2"/>
    <n v="6"/>
    <n v="8450.1"/>
    <n v="20"/>
    <n v="40560.480000000003"/>
    <n v="33064.120000000003"/>
    <n v="7496.36"/>
    <n v="0.18481931180301611"/>
  </r>
  <r>
    <s v="ORD0971"/>
    <s v="2025-04-17"/>
    <x v="0"/>
    <s v="Q2"/>
    <x v="2"/>
    <x v="5"/>
    <s v="Customer 37"/>
    <x v="7"/>
    <x v="2"/>
    <n v="7"/>
    <n v="7301.22"/>
    <n v="20"/>
    <n v="40886.83"/>
    <n v="22498.55"/>
    <n v="18388.28"/>
    <n v="0.44973601524011519"/>
  </r>
  <r>
    <s v="ORD0999"/>
    <s v="2025-04-22"/>
    <x v="0"/>
    <s v="Q2"/>
    <x v="2"/>
    <x v="2"/>
    <s v="Customer 1"/>
    <x v="7"/>
    <x v="2"/>
    <n v="7"/>
    <n v="7979.28"/>
    <n v="20"/>
    <n v="44683.97"/>
    <n v="28744.71"/>
    <n v="15939.26"/>
    <n v="0.35671091892685453"/>
  </r>
  <r>
    <s v="ORD0076"/>
    <s v="2025-08-08"/>
    <x v="1"/>
    <s v="Q3"/>
    <x v="0"/>
    <x v="2"/>
    <s v="Customer 37"/>
    <x v="8"/>
    <x v="3"/>
    <n v="6"/>
    <n v="1616.56"/>
    <n v="20"/>
    <n v="7759.49"/>
    <n v="5630.59"/>
    <n v="2128.9"/>
    <n v="0.2743608149504671"/>
  </r>
  <r>
    <s v="ORD0098"/>
    <s v="2025-08-23"/>
    <x v="1"/>
    <s v="Q3"/>
    <x v="1"/>
    <x v="3"/>
    <s v="Customer 14"/>
    <x v="7"/>
    <x v="2"/>
    <n v="8"/>
    <n v="7910.43"/>
    <n v="20"/>
    <n v="50626.75"/>
    <n v="42423.94"/>
    <n v="8202.81"/>
    <n v="0.1620252139432217"/>
  </r>
  <r>
    <s v="ORD0179"/>
    <s v="2025-08-13"/>
    <x v="1"/>
    <s v="Q3"/>
    <x v="3"/>
    <x v="1"/>
    <s v="Customer 22"/>
    <x v="8"/>
    <x v="3"/>
    <n v="7"/>
    <n v="1427.09"/>
    <n v="20"/>
    <n v="7991.7"/>
    <n v="6785.29"/>
    <n v="1206.4100000000001"/>
    <n v="0.15095786878886847"/>
  </r>
  <r>
    <s v="ORD0180"/>
    <s v="2025-08-27"/>
    <x v="1"/>
    <s v="Q3"/>
    <x v="2"/>
    <x v="5"/>
    <s v="Customer 31"/>
    <x v="8"/>
    <x v="3"/>
    <n v="7"/>
    <n v="1647.01"/>
    <n v="20"/>
    <n v="9223.26"/>
    <n v="5560.59"/>
    <n v="3662.67"/>
    <n v="0.39711230085674698"/>
  </r>
  <r>
    <s v="ORD0272"/>
    <s v="2025-08-14"/>
    <x v="1"/>
    <s v="Q3"/>
    <x v="0"/>
    <x v="1"/>
    <s v="Customer 50"/>
    <x v="6"/>
    <x v="1"/>
    <n v="4"/>
    <n v="57916.160000000003"/>
    <n v="20"/>
    <n v="185331.71"/>
    <n v="138814.56"/>
    <n v="46517.15"/>
    <n v="0.25099401500153429"/>
  </r>
  <r>
    <s v="ORD0366"/>
    <s v="2025-08-03"/>
    <x v="1"/>
    <s v="Q3"/>
    <x v="0"/>
    <x v="3"/>
    <s v="Customer 3"/>
    <x v="7"/>
    <x v="2"/>
    <n v="1"/>
    <n v="8284.0300000000007"/>
    <n v="20"/>
    <n v="6627.22"/>
    <n v="5128.1099999999997"/>
    <n v="1499.11"/>
    <n v="0.22620495471706081"/>
  </r>
  <r>
    <s v="ORD0424"/>
    <s v="2025-08-14"/>
    <x v="1"/>
    <s v="Q3"/>
    <x v="2"/>
    <x v="4"/>
    <s v="Customer 28"/>
    <x v="3"/>
    <x v="0"/>
    <n v="8"/>
    <n v="117.48"/>
    <n v="20"/>
    <n v="751.87"/>
    <n v="601.86"/>
    <n v="150.01"/>
    <n v="0.19951587375477142"/>
  </r>
  <r>
    <s v="ORD0455"/>
    <s v="2025-08-22"/>
    <x v="1"/>
    <s v="Q3"/>
    <x v="0"/>
    <x v="2"/>
    <s v="Customer 36"/>
    <x v="0"/>
    <x v="0"/>
    <n v="8"/>
    <n v="31.76"/>
    <n v="20"/>
    <n v="203.26"/>
    <n v="119.67"/>
    <n v="83.59"/>
    <n v="0.41124667913017815"/>
  </r>
  <r>
    <s v="ORD0476"/>
    <s v="2025-08-12"/>
    <x v="1"/>
    <s v="Q3"/>
    <x v="0"/>
    <x v="5"/>
    <s v="Customer 1"/>
    <x v="9"/>
    <x v="3"/>
    <n v="1"/>
    <n v="485.47"/>
    <n v="20"/>
    <n v="388.38"/>
    <n v="264.35000000000002"/>
    <n v="124.03"/>
    <n v="0.31935218085380296"/>
  </r>
  <r>
    <s v="ORD0509"/>
    <s v="2025-08-23"/>
    <x v="1"/>
    <s v="Q3"/>
    <x v="3"/>
    <x v="3"/>
    <s v="Customer 44"/>
    <x v="3"/>
    <x v="0"/>
    <n v="2"/>
    <n v="114.54"/>
    <n v="20"/>
    <n v="183.26"/>
    <n v="152.31"/>
    <n v="30.95"/>
    <n v="0.16888573611262686"/>
  </r>
  <r>
    <s v="ORD0546"/>
    <s v="2025-08-16"/>
    <x v="1"/>
    <s v="Q3"/>
    <x v="2"/>
    <x v="5"/>
    <s v="Customer 28"/>
    <x v="1"/>
    <x v="1"/>
    <n v="8"/>
    <n v="26596.89"/>
    <n v="20"/>
    <n v="170220.1"/>
    <n v="133494.5"/>
    <n v="36725.599999999999"/>
    <n v="0.21575360371659985"/>
  </r>
  <r>
    <s v="ORD0600"/>
    <s v="2025-08-31"/>
    <x v="1"/>
    <s v="Q3"/>
    <x v="0"/>
    <x v="2"/>
    <s v="Customer 21"/>
    <x v="1"/>
    <x v="1"/>
    <n v="4"/>
    <n v="25582.57"/>
    <n v="20"/>
    <n v="81864.22"/>
    <n v="45848.11"/>
    <n v="36016.11"/>
    <n v="0.43994934539167418"/>
  </r>
  <r>
    <s v="ORD0637"/>
    <s v="2025-08-10"/>
    <x v="1"/>
    <s v="Q3"/>
    <x v="3"/>
    <x v="1"/>
    <s v="Customer 30"/>
    <x v="7"/>
    <x v="2"/>
    <n v="8"/>
    <n v="7440.41"/>
    <n v="20"/>
    <n v="47618.62"/>
    <n v="28135.58"/>
    <n v="19483.04"/>
    <n v="0.40914751414467704"/>
  </r>
  <r>
    <s v="ORD0657"/>
    <s v="2025-08-03"/>
    <x v="1"/>
    <s v="Q3"/>
    <x v="1"/>
    <x v="2"/>
    <s v="Customer 37"/>
    <x v="3"/>
    <x v="0"/>
    <n v="2"/>
    <n v="130.99"/>
    <n v="20"/>
    <n v="209.58"/>
    <n v="140.34"/>
    <n v="69.239999999999995"/>
    <n v="0.33037503578585736"/>
  </r>
  <r>
    <s v="ORD0660"/>
    <s v="2025-08-11"/>
    <x v="1"/>
    <s v="Q3"/>
    <x v="0"/>
    <x v="3"/>
    <s v="Customer 43"/>
    <x v="0"/>
    <x v="0"/>
    <n v="6"/>
    <n v="27.66"/>
    <n v="20"/>
    <n v="132.77000000000001"/>
    <n v="102.35"/>
    <n v="30.42"/>
    <n v="0.2291180236499209"/>
  </r>
  <r>
    <s v="ORD0663"/>
    <s v="2025-08-22"/>
    <x v="1"/>
    <s v="Q3"/>
    <x v="3"/>
    <x v="0"/>
    <s v="Customer 30"/>
    <x v="7"/>
    <x v="2"/>
    <n v="3"/>
    <n v="8740.89"/>
    <n v="20"/>
    <n v="20978.14"/>
    <n v="13513.96"/>
    <n v="7464.18"/>
    <n v="0.3558075215438547"/>
  </r>
  <r>
    <s v="ORD0811"/>
    <s v="2025-08-22"/>
    <x v="1"/>
    <s v="Q3"/>
    <x v="3"/>
    <x v="3"/>
    <s v="Customer 33"/>
    <x v="2"/>
    <x v="2"/>
    <n v="1"/>
    <n v="4935.71"/>
    <n v="20"/>
    <n v="3948.57"/>
    <n v="2432.62"/>
    <n v="1515.95"/>
    <n v="0.38392380026186695"/>
  </r>
  <r>
    <s v="ORD0891"/>
    <s v="2025-08-17"/>
    <x v="1"/>
    <s v="Q3"/>
    <x v="2"/>
    <x v="1"/>
    <s v="Customer 5"/>
    <x v="2"/>
    <x v="2"/>
    <n v="1"/>
    <n v="4153.67"/>
    <n v="20"/>
    <n v="3322.94"/>
    <n v="2117.48"/>
    <n v="1205.46"/>
    <n v="0.36276911409775681"/>
  </r>
  <r>
    <s v="ORD0998"/>
    <s v="2025-08-13"/>
    <x v="1"/>
    <s v="Q3"/>
    <x v="0"/>
    <x v="1"/>
    <s v="Customer 2"/>
    <x v="8"/>
    <x v="3"/>
    <n v="3"/>
    <n v="1510.65"/>
    <n v="20"/>
    <n v="3625.56"/>
    <n v="2788.08"/>
    <n v="837.48"/>
    <n v="0.23099328103796379"/>
  </r>
  <r>
    <s v="ORD0024"/>
    <s v="2025-12-04"/>
    <x v="2"/>
    <s v="Q4"/>
    <x v="2"/>
    <x v="3"/>
    <s v="Customer 23"/>
    <x v="7"/>
    <x v="2"/>
    <n v="6"/>
    <n v="7434.19"/>
    <n v="20"/>
    <n v="35684.11"/>
    <n v="29211.69"/>
    <n v="6472.42"/>
    <n v="0.18138101244503504"/>
  </r>
  <r>
    <s v="ORD0040"/>
    <s v="2025-12-08"/>
    <x v="2"/>
    <s v="Q4"/>
    <x v="2"/>
    <x v="0"/>
    <s v="Customer 12"/>
    <x v="6"/>
    <x v="1"/>
    <n v="6"/>
    <n v="54884.09"/>
    <n v="20"/>
    <n v="263443.63"/>
    <n v="184309.81"/>
    <n v="79133.820000000007"/>
    <n v="0.30038236263294732"/>
  </r>
  <r>
    <s v="ORD0104"/>
    <s v="2025-12-12"/>
    <x v="2"/>
    <s v="Q4"/>
    <x v="2"/>
    <x v="4"/>
    <s v="Customer 30"/>
    <x v="7"/>
    <x v="2"/>
    <n v="8"/>
    <n v="7788.16"/>
    <n v="20"/>
    <n v="49844.22"/>
    <n v="35287.4"/>
    <n v="14556.82"/>
    <n v="0.2920462994505682"/>
  </r>
  <r>
    <s v="ORD0236"/>
    <s v="2025-12-09"/>
    <x v="2"/>
    <s v="Q4"/>
    <x v="0"/>
    <x v="3"/>
    <s v="Customer 40"/>
    <x v="2"/>
    <x v="2"/>
    <n v="4"/>
    <n v="4097.71"/>
    <n v="20"/>
    <n v="13112.67"/>
    <n v="9895.61"/>
    <n v="3217.06"/>
    <n v="0.24533981256296392"/>
  </r>
  <r>
    <s v="ORD0318"/>
    <s v="2025-12-10"/>
    <x v="2"/>
    <s v="Q4"/>
    <x v="3"/>
    <x v="3"/>
    <s v="Customer 36"/>
    <x v="1"/>
    <x v="1"/>
    <n v="6"/>
    <n v="23965.27"/>
    <n v="20"/>
    <n v="115033.3"/>
    <n v="67763.83"/>
    <n v="47269.47"/>
    <n v="0.41091988146041192"/>
  </r>
  <r>
    <s v="ORD0337"/>
    <s v="2025-12-20"/>
    <x v="2"/>
    <s v="Q4"/>
    <x v="0"/>
    <x v="3"/>
    <s v="Customer 27"/>
    <x v="5"/>
    <x v="1"/>
    <n v="3"/>
    <n v="914.7"/>
    <n v="20"/>
    <n v="2195.2800000000002"/>
    <n v="1702.83"/>
    <n v="492.45"/>
    <n v="0.22432218213621949"/>
  </r>
  <r>
    <s v="ORD0352"/>
    <s v="2025-12-16"/>
    <x v="2"/>
    <s v="Q4"/>
    <x v="3"/>
    <x v="3"/>
    <s v="Customer 17"/>
    <x v="3"/>
    <x v="0"/>
    <n v="3"/>
    <n v="108.84"/>
    <n v="20"/>
    <n v="261.22000000000003"/>
    <n v="197.04"/>
    <n v="64.180000000000007"/>
    <n v="0.24569328535334201"/>
  </r>
  <r>
    <s v="ORD0378"/>
    <s v="2025-12-09"/>
    <x v="2"/>
    <s v="Q4"/>
    <x v="3"/>
    <x v="0"/>
    <s v="Customer 32"/>
    <x v="5"/>
    <x v="1"/>
    <n v="7"/>
    <n v="841.76"/>
    <n v="20"/>
    <n v="4713.8599999999997"/>
    <n v="2927.57"/>
    <n v="1786.29"/>
    <n v="0.37894421981136478"/>
  </r>
  <r>
    <s v="ORD0576"/>
    <s v="2025-12-26"/>
    <x v="2"/>
    <s v="Q4"/>
    <x v="2"/>
    <x v="1"/>
    <s v="Customer 21"/>
    <x v="7"/>
    <x v="2"/>
    <n v="5"/>
    <n v="7259.65"/>
    <n v="20"/>
    <n v="29038.6"/>
    <n v="21737.07"/>
    <n v="7301.53"/>
    <n v="0.25144221828876046"/>
  </r>
  <r>
    <s v="ORD0619"/>
    <s v="2025-12-13"/>
    <x v="2"/>
    <s v="Q4"/>
    <x v="2"/>
    <x v="2"/>
    <s v="Customer 38"/>
    <x v="1"/>
    <x v="1"/>
    <n v="6"/>
    <n v="25205.41"/>
    <n v="20"/>
    <n v="120985.97"/>
    <n v="86073.96"/>
    <n v="34912.01"/>
    <n v="0.28856246720177559"/>
  </r>
  <r>
    <s v="ORD0671"/>
    <s v="2025-12-18"/>
    <x v="2"/>
    <s v="Q4"/>
    <x v="1"/>
    <x v="3"/>
    <s v="Customer 21"/>
    <x v="9"/>
    <x v="3"/>
    <n v="2"/>
    <n v="505.73"/>
    <n v="20"/>
    <n v="809.17"/>
    <n v="607.17999999999995"/>
    <n v="201.99"/>
    <n v="0.24962616013940211"/>
  </r>
  <r>
    <s v="ORD0697"/>
    <s v="2025-12-26"/>
    <x v="2"/>
    <s v="Q4"/>
    <x v="0"/>
    <x v="2"/>
    <s v="Customer 45"/>
    <x v="6"/>
    <x v="1"/>
    <n v="4"/>
    <n v="60797.2"/>
    <n v="20"/>
    <n v="194551.04000000001"/>
    <n v="148923.76"/>
    <n v="45627.28"/>
    <n v="0.23452601435592427"/>
  </r>
  <r>
    <s v="ORD0779"/>
    <s v="2025-12-28"/>
    <x v="2"/>
    <s v="Q4"/>
    <x v="3"/>
    <x v="1"/>
    <s v="Customer 30"/>
    <x v="4"/>
    <x v="1"/>
    <n v="3"/>
    <n v="2517.87"/>
    <n v="20"/>
    <n v="6042.89"/>
    <n v="3544.61"/>
    <n v="2498.2800000000002"/>
    <n v="0.41342470241887574"/>
  </r>
  <r>
    <s v="ORD0793"/>
    <s v="2025-12-25"/>
    <x v="2"/>
    <s v="Q4"/>
    <x v="2"/>
    <x v="0"/>
    <s v="Customer 25"/>
    <x v="9"/>
    <x v="3"/>
    <n v="5"/>
    <n v="478.4"/>
    <n v="20"/>
    <n v="1913.6"/>
    <n v="1166.8900000000001"/>
    <n v="746.71"/>
    <n v="0.39021216555183952"/>
  </r>
  <r>
    <s v="ORD0794"/>
    <s v="2025-12-20"/>
    <x v="2"/>
    <s v="Q4"/>
    <x v="1"/>
    <x v="1"/>
    <s v="Customer 47"/>
    <x v="5"/>
    <x v="1"/>
    <n v="6"/>
    <n v="890.54"/>
    <n v="20"/>
    <n v="4274.59"/>
    <n v="3300.26"/>
    <n v="974.33"/>
    <n v="0.2279353107549496"/>
  </r>
  <r>
    <s v="ORD0818"/>
    <s v="2025-12-01"/>
    <x v="2"/>
    <s v="Q4"/>
    <x v="2"/>
    <x v="2"/>
    <s v="Customer 40"/>
    <x v="6"/>
    <x v="1"/>
    <n v="6"/>
    <n v="57968.95"/>
    <n v="20"/>
    <n v="278250.96000000002"/>
    <n v="222411.28"/>
    <n v="55839.68"/>
    <n v="0.20068099675199683"/>
  </r>
  <r>
    <s v="ORD0824"/>
    <s v="2025-12-10"/>
    <x v="2"/>
    <s v="Q4"/>
    <x v="1"/>
    <x v="0"/>
    <s v="Customer 28"/>
    <x v="3"/>
    <x v="0"/>
    <n v="8"/>
    <n v="111.39"/>
    <n v="20"/>
    <n v="712.9"/>
    <n v="540.37"/>
    <n v="172.53"/>
    <n v="0.24201150231449012"/>
  </r>
  <r>
    <s v="ORD0965"/>
    <s v="2025-12-31"/>
    <x v="2"/>
    <s v="Q4"/>
    <x v="3"/>
    <x v="0"/>
    <s v="Customer 23"/>
    <x v="6"/>
    <x v="1"/>
    <n v="7"/>
    <n v="65108.13"/>
    <n v="20"/>
    <n v="364605.53"/>
    <n v="274419.43"/>
    <n v="90186.1"/>
    <n v="0.24735252918407463"/>
  </r>
  <r>
    <s v="ORD0988"/>
    <s v="2025-12-07"/>
    <x v="2"/>
    <s v="Q4"/>
    <x v="0"/>
    <x v="4"/>
    <s v="Customer 10"/>
    <x v="4"/>
    <x v="1"/>
    <n v="6"/>
    <n v="2732.48"/>
    <n v="20"/>
    <n v="13115.9"/>
    <n v="10312.75"/>
    <n v="2803.15"/>
    <n v="0.21372151358275071"/>
  </r>
  <r>
    <s v="ORD0997"/>
    <s v="2025-12-07"/>
    <x v="2"/>
    <s v="Q4"/>
    <x v="0"/>
    <x v="0"/>
    <s v="Customer 16"/>
    <x v="7"/>
    <x v="2"/>
    <n v="8"/>
    <n v="8737.9"/>
    <n v="20"/>
    <n v="55922.559999999998"/>
    <n v="45385.7"/>
    <n v="10536.86"/>
    <n v="0.18841877052838785"/>
  </r>
  <r>
    <s v="ORD1000"/>
    <s v="2025-12-30"/>
    <x v="2"/>
    <s v="Q4"/>
    <x v="3"/>
    <x v="5"/>
    <s v="Customer 11"/>
    <x v="1"/>
    <x v="1"/>
    <n v="6"/>
    <n v="24900.81"/>
    <n v="20"/>
    <n v="119523.89"/>
    <n v="78397.36"/>
    <n v="41126.53"/>
    <n v="0.34408627430047667"/>
  </r>
  <r>
    <s v="ORD0009"/>
    <s v="2025-02-23"/>
    <x v="3"/>
    <s v="Q1"/>
    <x v="1"/>
    <x v="2"/>
    <s v="Customer 31"/>
    <x v="4"/>
    <x v="1"/>
    <n v="7"/>
    <n v="2605.65"/>
    <n v="20"/>
    <n v="14591.64"/>
    <n v="11623.26"/>
    <n v="2968.38"/>
    <n v="0.20343018331044352"/>
  </r>
  <r>
    <s v="ORD0035"/>
    <s v="2025-02-23"/>
    <x v="3"/>
    <s v="Q1"/>
    <x v="1"/>
    <x v="2"/>
    <s v="Customer 35"/>
    <x v="0"/>
    <x v="0"/>
    <n v="4"/>
    <n v="31.15"/>
    <n v="20"/>
    <n v="99.68"/>
    <n v="69.67"/>
    <n v="30.01"/>
    <n v="0.3010634028892456"/>
  </r>
  <r>
    <s v="ORD0462"/>
    <s v="2025-02-09"/>
    <x v="3"/>
    <s v="Q1"/>
    <x v="2"/>
    <x v="3"/>
    <s v="Customer 20"/>
    <x v="6"/>
    <x v="1"/>
    <n v="2"/>
    <n v="62992.5"/>
    <n v="20"/>
    <n v="100788"/>
    <n v="85192.23"/>
    <n v="15595.77"/>
    <n v="0.15473836170972735"/>
  </r>
  <r>
    <s v="ORD0642"/>
    <s v="2025-02-20"/>
    <x v="3"/>
    <s v="Q1"/>
    <x v="0"/>
    <x v="5"/>
    <s v="Customer 44"/>
    <x v="8"/>
    <x v="3"/>
    <n v="4"/>
    <n v="1638.84"/>
    <n v="20"/>
    <n v="5244.29"/>
    <n v="3528.36"/>
    <n v="1715.93"/>
    <n v="0.32719967812611433"/>
  </r>
  <r>
    <s v="ORD0687"/>
    <s v="2025-02-22"/>
    <x v="3"/>
    <s v="Q1"/>
    <x v="1"/>
    <x v="1"/>
    <s v="Customer 19"/>
    <x v="9"/>
    <x v="3"/>
    <n v="1"/>
    <n v="514.02"/>
    <n v="20"/>
    <n v="411.22"/>
    <n v="240.16"/>
    <n v="171.06"/>
    <n v="0.41598171295170466"/>
  </r>
  <r>
    <s v="ORD0752"/>
    <s v="2025-02-21"/>
    <x v="3"/>
    <s v="Q1"/>
    <x v="3"/>
    <x v="1"/>
    <s v="Customer 6"/>
    <x v="0"/>
    <x v="0"/>
    <n v="3"/>
    <n v="31.96"/>
    <n v="20"/>
    <n v="76.7"/>
    <n v="61.54"/>
    <n v="15.16"/>
    <n v="0.19765319426336375"/>
  </r>
  <r>
    <s v="ORD0773"/>
    <s v="2025-02-26"/>
    <x v="3"/>
    <s v="Q1"/>
    <x v="1"/>
    <x v="1"/>
    <s v="Customer 18"/>
    <x v="5"/>
    <x v="1"/>
    <n v="7"/>
    <n v="989.47"/>
    <n v="20"/>
    <n v="5541.03"/>
    <n v="4361.01"/>
    <n v="1180.02"/>
    <n v="0.21296040627825513"/>
  </r>
  <r>
    <s v="ORD0805"/>
    <s v="2025-02-06"/>
    <x v="3"/>
    <s v="Q1"/>
    <x v="0"/>
    <x v="0"/>
    <s v="Customer 41"/>
    <x v="6"/>
    <x v="1"/>
    <n v="6"/>
    <n v="61182.95"/>
    <n v="20"/>
    <n v="293678.15999999997"/>
    <n v="163846.57"/>
    <n v="129831.59"/>
    <n v="0.44208799864450254"/>
  </r>
  <r>
    <s v="ORD0821"/>
    <s v="2025-02-12"/>
    <x v="3"/>
    <s v="Q1"/>
    <x v="2"/>
    <x v="3"/>
    <s v="Customer 3"/>
    <x v="6"/>
    <x v="1"/>
    <n v="5"/>
    <n v="55946.61"/>
    <n v="20"/>
    <n v="223786.44"/>
    <n v="141933.41"/>
    <n v="81853.03"/>
    <n v="0.36576402931294677"/>
  </r>
  <r>
    <s v="ORD0849"/>
    <s v="2025-02-03"/>
    <x v="3"/>
    <s v="Q1"/>
    <x v="1"/>
    <x v="2"/>
    <s v="Customer 17"/>
    <x v="5"/>
    <x v="1"/>
    <n v="8"/>
    <n v="830.02"/>
    <n v="20"/>
    <n v="5312.13"/>
    <n v="4505.13"/>
    <n v="807"/>
    <n v="0.15191646288776817"/>
  </r>
  <r>
    <s v="ORD0877"/>
    <s v="2025-02-20"/>
    <x v="3"/>
    <s v="Q1"/>
    <x v="1"/>
    <x v="2"/>
    <s v="Customer 2"/>
    <x v="0"/>
    <x v="0"/>
    <n v="4"/>
    <n v="29.38"/>
    <n v="20"/>
    <n v="94.02"/>
    <n v="66.31"/>
    <n v="27.71"/>
    <n v="0.29472452669644761"/>
  </r>
  <r>
    <s v="ORD0037"/>
    <s v="2025-01-27"/>
    <x v="4"/>
    <s v="Q1"/>
    <x v="1"/>
    <x v="1"/>
    <s v="Customer 8"/>
    <x v="3"/>
    <x v="0"/>
    <n v="7"/>
    <n v="117.57"/>
    <n v="20"/>
    <n v="658.39"/>
    <n v="415.02"/>
    <n v="243.37"/>
    <n v="0.36964413189750756"/>
  </r>
  <r>
    <s v="ORD0084"/>
    <s v="2025-01-17"/>
    <x v="4"/>
    <s v="Q1"/>
    <x v="1"/>
    <x v="5"/>
    <s v="Customer 17"/>
    <x v="5"/>
    <x v="1"/>
    <n v="2"/>
    <n v="815.9"/>
    <n v="20"/>
    <n v="1305.44"/>
    <n v="1025.42"/>
    <n v="280.02"/>
    <n v="0.21450238999877433"/>
  </r>
  <r>
    <s v="ORD0115"/>
    <s v="2025-01-05"/>
    <x v="4"/>
    <s v="Q1"/>
    <x v="3"/>
    <x v="4"/>
    <s v="Customer 9"/>
    <x v="3"/>
    <x v="0"/>
    <n v="1"/>
    <n v="128.38999999999999"/>
    <n v="20"/>
    <n v="102.71"/>
    <n v="65.760000000000005"/>
    <n v="36.950000000000003"/>
    <n v="0.35975075455165034"/>
  </r>
  <r>
    <s v="ORD0182"/>
    <s v="2025-01-29"/>
    <x v="4"/>
    <s v="Q1"/>
    <x v="3"/>
    <x v="3"/>
    <s v="Customer 26"/>
    <x v="4"/>
    <x v="1"/>
    <n v="5"/>
    <n v="2307.79"/>
    <n v="20"/>
    <n v="9231.16"/>
    <n v="6628.32"/>
    <n v="2602.84"/>
    <n v="0.28196239692519687"/>
  </r>
  <r>
    <s v="ORD0209"/>
    <s v="2025-01-17"/>
    <x v="4"/>
    <s v="Q1"/>
    <x v="3"/>
    <x v="3"/>
    <s v="Customer 27"/>
    <x v="9"/>
    <x v="3"/>
    <n v="6"/>
    <n v="460.28"/>
    <n v="20"/>
    <n v="2209.34"/>
    <n v="1507.85"/>
    <n v="701.49"/>
    <n v="0.31751111191577575"/>
  </r>
  <r>
    <s v="ORD0263"/>
    <s v="2025-01-26"/>
    <x v="4"/>
    <s v="Q1"/>
    <x v="1"/>
    <x v="2"/>
    <s v="Customer 10"/>
    <x v="4"/>
    <x v="1"/>
    <n v="8"/>
    <n v="2294.91"/>
    <n v="20"/>
    <n v="14687.42"/>
    <n v="8752.5400000000009"/>
    <n v="5934.88"/>
    <n v="0.40407913711189575"/>
  </r>
  <r>
    <s v="ORD0266"/>
    <s v="2025-01-01"/>
    <x v="4"/>
    <s v="Q1"/>
    <x v="2"/>
    <x v="1"/>
    <s v="Customer 17"/>
    <x v="0"/>
    <x v="0"/>
    <n v="4"/>
    <n v="29.11"/>
    <n v="20"/>
    <n v="93.15"/>
    <n v="60.1"/>
    <n v="33.049999999999997"/>
    <n v="0.35480407944176057"/>
  </r>
  <r>
    <s v="ORD0432"/>
    <s v="2025-01-26"/>
    <x v="4"/>
    <s v="Q1"/>
    <x v="3"/>
    <x v="1"/>
    <s v="Customer 24"/>
    <x v="7"/>
    <x v="2"/>
    <n v="7"/>
    <n v="8019.81"/>
    <n v="20"/>
    <n v="44910.94"/>
    <n v="29119.62"/>
    <n v="15791.32"/>
    <n v="0.35161410560544931"/>
  </r>
  <r>
    <s v="ORD0521"/>
    <s v="2025-01-31"/>
    <x v="4"/>
    <s v="Q1"/>
    <x v="2"/>
    <x v="4"/>
    <s v="Customer 8"/>
    <x v="5"/>
    <x v="1"/>
    <n v="2"/>
    <n v="984.04"/>
    <n v="20"/>
    <n v="1574.46"/>
    <n v="893.33"/>
    <n v="681.13"/>
    <n v="0.43261181611473137"/>
  </r>
  <r>
    <s v="ORD0645"/>
    <s v="2025-01-05"/>
    <x v="4"/>
    <s v="Q1"/>
    <x v="0"/>
    <x v="4"/>
    <s v="Customer 37"/>
    <x v="4"/>
    <x v="1"/>
    <n v="4"/>
    <n v="2388.64"/>
    <n v="20"/>
    <n v="7643.65"/>
    <n v="4317.91"/>
    <n v="3325.74"/>
    <n v="0.4350984150242358"/>
  </r>
  <r>
    <s v="ORD0691"/>
    <s v="2025-01-26"/>
    <x v="4"/>
    <s v="Q1"/>
    <x v="3"/>
    <x v="5"/>
    <s v="Customer 3"/>
    <x v="8"/>
    <x v="3"/>
    <n v="8"/>
    <n v="1628.72"/>
    <n v="20"/>
    <n v="10423.81"/>
    <n v="7893.4"/>
    <n v="2530.41"/>
    <n v="0.24275288977830561"/>
  </r>
  <r>
    <s v="ORD0733"/>
    <s v="2025-01-10"/>
    <x v="4"/>
    <s v="Q1"/>
    <x v="0"/>
    <x v="5"/>
    <s v="Customer 13"/>
    <x v="7"/>
    <x v="2"/>
    <n v="8"/>
    <n v="8305.58"/>
    <n v="20"/>
    <n v="53155.71"/>
    <n v="33519.65"/>
    <n v="19636.060000000001"/>
    <n v="0.36940640996047275"/>
  </r>
  <r>
    <s v="ORD0853"/>
    <s v="2025-01-21"/>
    <x v="4"/>
    <s v="Q1"/>
    <x v="3"/>
    <x v="5"/>
    <s v="Customer 1"/>
    <x v="1"/>
    <x v="1"/>
    <n v="4"/>
    <n v="27233.7"/>
    <n v="20"/>
    <n v="87147.839999999997"/>
    <n v="60610.86"/>
    <n v="26536.98"/>
    <n v="0.30450530959803479"/>
  </r>
  <r>
    <s v="ORD0874"/>
    <s v="2025-01-03"/>
    <x v="4"/>
    <s v="Q1"/>
    <x v="3"/>
    <x v="0"/>
    <s v="Customer 18"/>
    <x v="2"/>
    <x v="2"/>
    <n v="5"/>
    <n v="4359.4399999999996"/>
    <n v="20"/>
    <n v="17437.759999999998"/>
    <n v="13921.46"/>
    <n v="3516.3"/>
    <n v="0.20164860624300371"/>
  </r>
  <r>
    <s v="ORD0895"/>
    <s v="2025-01-28"/>
    <x v="4"/>
    <s v="Q1"/>
    <x v="1"/>
    <x v="4"/>
    <s v="Customer 43"/>
    <x v="7"/>
    <x v="2"/>
    <n v="2"/>
    <n v="8452.8799999999992"/>
    <n v="20"/>
    <n v="13524.61"/>
    <n v="11344.32"/>
    <n v="2180.29"/>
    <n v="0.1612090847721302"/>
  </r>
  <r>
    <s v="ORD0962"/>
    <s v="2025-01-30"/>
    <x v="4"/>
    <s v="Q1"/>
    <x v="1"/>
    <x v="4"/>
    <s v="Customer 43"/>
    <x v="5"/>
    <x v="1"/>
    <n v="1"/>
    <n v="863.65"/>
    <n v="20"/>
    <n v="690.92"/>
    <n v="547.21"/>
    <n v="143.71"/>
    <n v="0.20799803161002722"/>
  </r>
  <r>
    <s v="ORD0990"/>
    <s v="2025-01-27"/>
    <x v="4"/>
    <s v="Q1"/>
    <x v="1"/>
    <x v="1"/>
    <s v="Customer 39"/>
    <x v="0"/>
    <x v="0"/>
    <n v="4"/>
    <n v="28.11"/>
    <n v="20"/>
    <n v="89.95"/>
    <n v="75.349999999999994"/>
    <n v="14.6"/>
    <n v="0.16231239577543077"/>
  </r>
  <r>
    <s v="ORD0996"/>
    <s v="2025-01-12"/>
    <x v="4"/>
    <s v="Q1"/>
    <x v="1"/>
    <x v="3"/>
    <s v="Customer 31"/>
    <x v="4"/>
    <x v="1"/>
    <n v="1"/>
    <n v="2642.52"/>
    <n v="20"/>
    <n v="2114.02"/>
    <n v="1549.61"/>
    <n v="564.41"/>
    <n v="0.26698422909906244"/>
  </r>
  <r>
    <s v="ORD0006"/>
    <s v="2025-07-19"/>
    <x v="5"/>
    <s v="Q3"/>
    <x v="3"/>
    <x v="4"/>
    <s v="Customer 9"/>
    <x v="7"/>
    <x v="2"/>
    <n v="7"/>
    <n v="7240.32"/>
    <n v="20"/>
    <n v="40545.79"/>
    <n v="28306.21"/>
    <n v="12239.58"/>
    <n v="0.3018705517884841"/>
  </r>
  <r>
    <s v="ORD0132"/>
    <s v="2025-07-05"/>
    <x v="5"/>
    <s v="Q3"/>
    <x v="0"/>
    <x v="5"/>
    <s v="Customer 8"/>
    <x v="8"/>
    <x v="3"/>
    <n v="8"/>
    <n v="1605.15"/>
    <n v="20"/>
    <n v="10272.959999999999"/>
    <n v="8396.75"/>
    <n v="1876.21"/>
    <n v="0.18263577391521044"/>
  </r>
  <r>
    <s v="ORD0187"/>
    <s v="2025-07-23"/>
    <x v="5"/>
    <s v="Q3"/>
    <x v="2"/>
    <x v="3"/>
    <s v="Customer 14"/>
    <x v="4"/>
    <x v="1"/>
    <n v="4"/>
    <n v="2363.56"/>
    <n v="20"/>
    <n v="7563.39"/>
    <n v="4437.09"/>
    <n v="3126.3"/>
    <n v="0.41334639625882047"/>
  </r>
  <r>
    <s v="ORD0210"/>
    <s v="2025-07-29"/>
    <x v="5"/>
    <s v="Q3"/>
    <x v="1"/>
    <x v="3"/>
    <s v="Customer 28"/>
    <x v="9"/>
    <x v="3"/>
    <n v="2"/>
    <n v="544.71"/>
    <n v="20"/>
    <n v="871.54"/>
    <n v="698.98"/>
    <n v="172.56"/>
    <n v="0.19799435482020333"/>
  </r>
  <r>
    <s v="ORD0292"/>
    <s v="2025-07-05"/>
    <x v="5"/>
    <s v="Q3"/>
    <x v="2"/>
    <x v="1"/>
    <s v="Customer 5"/>
    <x v="1"/>
    <x v="1"/>
    <n v="3"/>
    <n v="26658.06"/>
    <n v="20"/>
    <n v="63979.34"/>
    <n v="51918.37"/>
    <n v="12060.97"/>
    <n v="0.18851351076769471"/>
  </r>
  <r>
    <s v="ORD0319"/>
    <s v="2025-07-17"/>
    <x v="5"/>
    <s v="Q3"/>
    <x v="0"/>
    <x v="3"/>
    <s v="Customer 45"/>
    <x v="0"/>
    <x v="0"/>
    <n v="7"/>
    <n v="32.33"/>
    <n v="20"/>
    <n v="181.05"/>
    <n v="135.9"/>
    <n v="45.15"/>
    <n v="0.24937862468931232"/>
  </r>
  <r>
    <s v="ORD0325"/>
    <s v="2025-07-09"/>
    <x v="5"/>
    <s v="Q3"/>
    <x v="3"/>
    <x v="3"/>
    <s v="Customer 36"/>
    <x v="6"/>
    <x v="1"/>
    <n v="7"/>
    <n v="57531.02"/>
    <n v="20"/>
    <n v="322173.71000000002"/>
    <n v="196558.57"/>
    <n v="125615.14"/>
    <n v="0.38989879093486551"/>
  </r>
  <r>
    <s v="ORD0340"/>
    <s v="2025-07-07"/>
    <x v="5"/>
    <s v="Q3"/>
    <x v="3"/>
    <x v="5"/>
    <s v="Customer 11"/>
    <x v="8"/>
    <x v="3"/>
    <n v="7"/>
    <n v="1471.21"/>
    <n v="20"/>
    <n v="8238.7800000000007"/>
    <n v="6312.76"/>
    <n v="1926.02"/>
    <n v="0.2337749035658192"/>
  </r>
  <r>
    <s v="ORD0411"/>
    <s v="2025-07-21"/>
    <x v="5"/>
    <s v="Q3"/>
    <x v="3"/>
    <x v="4"/>
    <s v="Customer 12"/>
    <x v="0"/>
    <x v="0"/>
    <n v="2"/>
    <n v="29.75"/>
    <n v="20"/>
    <n v="47.6"/>
    <n v="38.520000000000003"/>
    <n v="9.08"/>
    <n v="0.19075630252100839"/>
  </r>
  <r>
    <s v="ORD0412"/>
    <s v="2025-07-04"/>
    <x v="5"/>
    <s v="Q3"/>
    <x v="3"/>
    <x v="3"/>
    <s v="Customer 12"/>
    <x v="1"/>
    <x v="1"/>
    <n v="1"/>
    <n v="23997.96"/>
    <n v="20"/>
    <n v="19198.37"/>
    <n v="13859.63"/>
    <n v="5338.74"/>
    <n v="0.27808298308658497"/>
  </r>
  <r>
    <s v="ORD0434"/>
    <s v="2025-07-09"/>
    <x v="5"/>
    <s v="Q3"/>
    <x v="1"/>
    <x v="1"/>
    <s v="Customer 25"/>
    <x v="2"/>
    <x v="2"/>
    <n v="4"/>
    <n v="4856.6400000000003"/>
    <n v="20"/>
    <n v="15541.25"/>
    <n v="12967.33"/>
    <n v="2573.92"/>
    <n v="0.16561859567280623"/>
  </r>
  <r>
    <s v="ORD0490"/>
    <s v="2025-07-22"/>
    <x v="5"/>
    <s v="Q3"/>
    <x v="1"/>
    <x v="3"/>
    <s v="Customer 30"/>
    <x v="7"/>
    <x v="2"/>
    <n v="6"/>
    <n v="8491.85"/>
    <n v="20"/>
    <n v="40760.879999999997"/>
    <n v="23903.86"/>
    <n v="16857.02"/>
    <n v="0.41355878479561781"/>
  </r>
  <r>
    <s v="ORD0730"/>
    <s v="2025-07-16"/>
    <x v="5"/>
    <s v="Q3"/>
    <x v="2"/>
    <x v="0"/>
    <s v="Customer 48"/>
    <x v="8"/>
    <x v="3"/>
    <n v="4"/>
    <n v="1541.7"/>
    <n v="20"/>
    <n v="4933.4399999999996"/>
    <n v="2969.4"/>
    <n v="1964.04"/>
    <n v="0.3981076084841409"/>
  </r>
  <r>
    <s v="ORD0758"/>
    <s v="2025-07-26"/>
    <x v="5"/>
    <s v="Q3"/>
    <x v="0"/>
    <x v="5"/>
    <s v="Customer 3"/>
    <x v="1"/>
    <x v="1"/>
    <n v="1"/>
    <n v="27409.119999999999"/>
    <n v="20"/>
    <n v="21927.3"/>
    <n v="14837.61"/>
    <n v="7089.69"/>
    <n v="0.32332708541407285"/>
  </r>
  <r>
    <s v="ORD0803"/>
    <s v="2025-07-12"/>
    <x v="5"/>
    <s v="Q3"/>
    <x v="0"/>
    <x v="3"/>
    <s v="Customer 10"/>
    <x v="0"/>
    <x v="0"/>
    <n v="5"/>
    <n v="28.56"/>
    <n v="20"/>
    <n v="114.24"/>
    <n v="63.49"/>
    <n v="50.75"/>
    <n v="0.4442401960784314"/>
  </r>
  <r>
    <s v="ORD0935"/>
    <s v="2025-07-08"/>
    <x v="5"/>
    <s v="Q3"/>
    <x v="1"/>
    <x v="3"/>
    <s v="Customer 47"/>
    <x v="4"/>
    <x v="1"/>
    <n v="3"/>
    <n v="2534.4699999999998"/>
    <n v="20"/>
    <n v="6082.73"/>
    <n v="3825.77"/>
    <n v="2256.96"/>
    <n v="0.37104392271233477"/>
  </r>
  <r>
    <s v="ORD0951"/>
    <s v="2025-07-24"/>
    <x v="5"/>
    <s v="Q3"/>
    <x v="2"/>
    <x v="0"/>
    <s v="Customer 44"/>
    <x v="0"/>
    <x v="0"/>
    <n v="4"/>
    <n v="29.67"/>
    <n v="20"/>
    <n v="94.94"/>
    <n v="57.69"/>
    <n v="37.25"/>
    <n v="0.3923530650937434"/>
  </r>
  <r>
    <s v="ORD0956"/>
    <s v="2025-07-16"/>
    <x v="5"/>
    <s v="Q3"/>
    <x v="2"/>
    <x v="4"/>
    <s v="Customer 16"/>
    <x v="6"/>
    <x v="1"/>
    <n v="5"/>
    <n v="64107.31"/>
    <n v="20"/>
    <n v="256429.24"/>
    <n v="200105.71"/>
    <n v="56323.53"/>
    <n v="0.21964550532536772"/>
  </r>
  <r>
    <s v="ORD0074"/>
    <s v="2025-06-19"/>
    <x v="6"/>
    <s v="Q2"/>
    <x v="3"/>
    <x v="1"/>
    <s v="Customer 27"/>
    <x v="7"/>
    <x v="2"/>
    <n v="4"/>
    <n v="8054.64"/>
    <n v="20"/>
    <n v="25774.85"/>
    <n v="15845.46"/>
    <n v="9929.39"/>
    <n v="0.38523560757870562"/>
  </r>
  <r>
    <s v="ORD0090"/>
    <s v="2025-06-09"/>
    <x v="6"/>
    <s v="Q2"/>
    <x v="0"/>
    <x v="3"/>
    <s v="Customer 29"/>
    <x v="1"/>
    <x v="1"/>
    <n v="8"/>
    <n v="24187.67"/>
    <n v="20"/>
    <n v="154801.09"/>
    <n v="92424.7"/>
    <n v="62376.39"/>
    <n v="0.40294541853678162"/>
  </r>
  <r>
    <s v="ORD0238"/>
    <s v="2025-06-18"/>
    <x v="6"/>
    <s v="Q2"/>
    <x v="1"/>
    <x v="2"/>
    <s v="Customer 41"/>
    <x v="9"/>
    <x v="3"/>
    <n v="8"/>
    <n v="465.43"/>
    <n v="20"/>
    <n v="2978.75"/>
    <n v="1858.93"/>
    <n v="1119.82"/>
    <n v="0.37593621485522449"/>
  </r>
  <r>
    <s v="ORD0252"/>
    <s v="2025-06-11"/>
    <x v="6"/>
    <s v="Q2"/>
    <x v="1"/>
    <x v="1"/>
    <s v="Customer 14"/>
    <x v="4"/>
    <x v="1"/>
    <n v="8"/>
    <n v="2554"/>
    <n v="20"/>
    <n v="16345.6"/>
    <n v="12091.92"/>
    <n v="4253.68"/>
    <n v="0.26023394675019579"/>
  </r>
  <r>
    <s v="ORD0253"/>
    <s v="2025-06-27"/>
    <x v="6"/>
    <s v="Q2"/>
    <x v="1"/>
    <x v="3"/>
    <s v="Customer 1"/>
    <x v="5"/>
    <x v="1"/>
    <n v="7"/>
    <n v="812.45"/>
    <n v="20"/>
    <n v="4549.72"/>
    <n v="3303.96"/>
    <n v="1245.76"/>
    <n v="0.27381025645534229"/>
  </r>
  <r>
    <s v="ORD0278"/>
    <s v="2025-06-27"/>
    <x v="6"/>
    <s v="Q2"/>
    <x v="2"/>
    <x v="0"/>
    <s v="Customer 43"/>
    <x v="9"/>
    <x v="3"/>
    <n v="8"/>
    <n v="515.67999999999995"/>
    <n v="20"/>
    <n v="3300.35"/>
    <n v="2094.2199999999998"/>
    <n v="1206.1300000000001"/>
    <n v="0.36545517899616714"/>
  </r>
  <r>
    <s v="ORD0281"/>
    <s v="2025-06-09"/>
    <x v="6"/>
    <s v="Q2"/>
    <x v="3"/>
    <x v="2"/>
    <s v="Customer 45"/>
    <x v="5"/>
    <x v="1"/>
    <n v="6"/>
    <n v="901.74"/>
    <n v="20"/>
    <n v="4328.3500000000004"/>
    <n v="2456.88"/>
    <n v="1871.47"/>
    <n v="0.43237492346968243"/>
  </r>
  <r>
    <s v="ORD0370"/>
    <s v="2025-06-23"/>
    <x v="6"/>
    <s v="Q2"/>
    <x v="3"/>
    <x v="0"/>
    <s v="Customer 18"/>
    <x v="8"/>
    <x v="3"/>
    <n v="5"/>
    <n v="1506.98"/>
    <n v="20"/>
    <n v="6027.92"/>
    <n v="4378.51"/>
    <n v="1649.41"/>
    <n v="0.2736283825930006"/>
  </r>
  <r>
    <s v="ORD0404"/>
    <s v="2025-06-03"/>
    <x v="6"/>
    <s v="Q2"/>
    <x v="0"/>
    <x v="3"/>
    <s v="Customer 16"/>
    <x v="1"/>
    <x v="1"/>
    <n v="2"/>
    <n v="26333.72"/>
    <n v="20"/>
    <n v="42133.95"/>
    <n v="32581.72"/>
    <n v="9552.23"/>
    <n v="0.22671100146081724"/>
  </r>
  <r>
    <s v="ORD0413"/>
    <s v="2025-06-21"/>
    <x v="6"/>
    <s v="Q2"/>
    <x v="1"/>
    <x v="2"/>
    <s v="Customer 41"/>
    <x v="4"/>
    <x v="1"/>
    <n v="6"/>
    <n v="2476.86"/>
    <n v="20"/>
    <n v="11888.93"/>
    <n v="7282.59"/>
    <n v="4606.34"/>
    <n v="0.38744781910567228"/>
  </r>
  <r>
    <s v="ORD0495"/>
    <s v="2025-06-11"/>
    <x v="6"/>
    <s v="Q2"/>
    <x v="2"/>
    <x v="4"/>
    <s v="Customer 19"/>
    <x v="1"/>
    <x v="1"/>
    <n v="8"/>
    <n v="27424.15"/>
    <n v="20"/>
    <n v="175514.56"/>
    <n v="135917.71"/>
    <n v="39596.85"/>
    <n v="0.22560436011690427"/>
  </r>
  <r>
    <s v="ORD0533"/>
    <s v="2025-06-05"/>
    <x v="6"/>
    <s v="Q2"/>
    <x v="3"/>
    <x v="0"/>
    <s v="Customer 45"/>
    <x v="8"/>
    <x v="3"/>
    <n v="3"/>
    <n v="1549.42"/>
    <n v="20"/>
    <n v="3718.61"/>
    <n v="2687.23"/>
    <n v="1031.3800000000001"/>
    <n v="0.27735632400278598"/>
  </r>
  <r>
    <s v="ORD0548"/>
    <s v="2025-06-17"/>
    <x v="6"/>
    <s v="Q2"/>
    <x v="3"/>
    <x v="2"/>
    <s v="Customer 20"/>
    <x v="0"/>
    <x v="0"/>
    <n v="5"/>
    <n v="27.49"/>
    <n v="20"/>
    <n v="109.96"/>
    <n v="73.84"/>
    <n v="36.119999999999997"/>
    <n v="0.32848308475809385"/>
  </r>
  <r>
    <s v="ORD0564"/>
    <s v="2025-06-09"/>
    <x v="6"/>
    <s v="Q2"/>
    <x v="2"/>
    <x v="2"/>
    <s v="Customer 26"/>
    <x v="0"/>
    <x v="0"/>
    <n v="8"/>
    <n v="27.03"/>
    <n v="20"/>
    <n v="172.99"/>
    <n v="97.26"/>
    <n v="75.73"/>
    <n v="0.43777096942019772"/>
  </r>
  <r>
    <s v="ORD0569"/>
    <s v="2025-06-17"/>
    <x v="6"/>
    <s v="Q2"/>
    <x v="0"/>
    <x v="2"/>
    <s v="Customer 22"/>
    <x v="6"/>
    <x v="1"/>
    <n v="2"/>
    <n v="64332.51"/>
    <n v="20"/>
    <n v="102932.02"/>
    <n v="81583.34"/>
    <n v="21348.68"/>
    <n v="0.20740562557695846"/>
  </r>
  <r>
    <s v="ORD0579"/>
    <s v="2025-06-29"/>
    <x v="6"/>
    <s v="Q2"/>
    <x v="3"/>
    <x v="3"/>
    <s v="Customer 8"/>
    <x v="2"/>
    <x v="2"/>
    <n v="5"/>
    <n v="4703.2700000000004"/>
    <n v="20"/>
    <n v="18813.080000000002"/>
    <n v="10367.5"/>
    <n v="8445.58"/>
    <n v="0.44892064457281844"/>
  </r>
  <r>
    <s v="ORD0599"/>
    <s v="2025-06-09"/>
    <x v="6"/>
    <s v="Q2"/>
    <x v="3"/>
    <x v="2"/>
    <s v="Customer 40"/>
    <x v="2"/>
    <x v="2"/>
    <n v="6"/>
    <n v="4527.75"/>
    <n v="20"/>
    <n v="21733.200000000001"/>
    <n v="15894.62"/>
    <n v="5838.58"/>
    <n v="0.2686479671654427"/>
  </r>
  <r>
    <s v="ORD0724"/>
    <s v="2025-06-18"/>
    <x v="6"/>
    <s v="Q2"/>
    <x v="2"/>
    <x v="4"/>
    <s v="Customer 19"/>
    <x v="4"/>
    <x v="1"/>
    <n v="2"/>
    <n v="2524.44"/>
    <n v="20"/>
    <n v="4039.1"/>
    <n v="2553.9"/>
    <n v="1485.2"/>
    <n v="0.36770567700725409"/>
  </r>
  <r>
    <s v="ORD0780"/>
    <s v="2025-06-13"/>
    <x v="6"/>
    <s v="Q2"/>
    <x v="1"/>
    <x v="5"/>
    <s v="Customer 6"/>
    <x v="1"/>
    <x v="1"/>
    <n v="8"/>
    <n v="26017.09"/>
    <n v="20"/>
    <n v="166509.38"/>
    <n v="129873.8"/>
    <n v="36635.58"/>
    <n v="0.22002111832979018"/>
  </r>
  <r>
    <s v="ORD0781"/>
    <s v="2025-06-09"/>
    <x v="6"/>
    <s v="Q2"/>
    <x v="0"/>
    <x v="0"/>
    <s v="Customer 28"/>
    <x v="2"/>
    <x v="2"/>
    <n v="6"/>
    <n v="4352.2299999999996"/>
    <n v="20"/>
    <n v="20890.7"/>
    <n v="16716.759999999998"/>
    <n v="4173.9399999999996"/>
    <n v="0.19979895360136327"/>
  </r>
  <r>
    <s v="ORD0785"/>
    <s v="2025-06-20"/>
    <x v="6"/>
    <s v="Q2"/>
    <x v="2"/>
    <x v="0"/>
    <s v="Customer 22"/>
    <x v="7"/>
    <x v="2"/>
    <n v="3"/>
    <n v="8096.05"/>
    <n v="20"/>
    <n v="19430.52"/>
    <n v="13132.89"/>
    <n v="6297.63"/>
    <n v="0.32411021424027764"/>
  </r>
  <r>
    <s v="ORD0036"/>
    <s v="2025-03-07"/>
    <x v="7"/>
    <s v="Q1"/>
    <x v="1"/>
    <x v="2"/>
    <s v="Customer 18"/>
    <x v="4"/>
    <x v="1"/>
    <n v="5"/>
    <n v="2411.9299999999998"/>
    <n v="20"/>
    <n v="9647.7199999999993"/>
    <n v="7465.24"/>
    <n v="2182.48"/>
    <n v="0.22621717877384503"/>
  </r>
  <r>
    <s v="ORD0045"/>
    <s v="2025-03-16"/>
    <x v="7"/>
    <s v="Q1"/>
    <x v="3"/>
    <x v="1"/>
    <s v="Customer 14"/>
    <x v="5"/>
    <x v="1"/>
    <n v="7"/>
    <n v="896.84"/>
    <n v="20"/>
    <n v="5022.3"/>
    <n v="3786.78"/>
    <n v="1235.52"/>
    <n v="0.24600680962905441"/>
  </r>
  <r>
    <s v="ORD0069"/>
    <s v="2025-03-21"/>
    <x v="7"/>
    <s v="Q1"/>
    <x v="1"/>
    <x v="5"/>
    <s v="Customer 5"/>
    <x v="4"/>
    <x v="1"/>
    <n v="8"/>
    <n v="2703.07"/>
    <n v="20"/>
    <n v="17299.650000000001"/>
    <n v="11335.59"/>
    <n v="5964.06"/>
    <n v="0.34475032731876076"/>
  </r>
  <r>
    <s v="ORD0082"/>
    <s v="2025-03-04"/>
    <x v="7"/>
    <s v="Q1"/>
    <x v="2"/>
    <x v="4"/>
    <s v="Customer 38"/>
    <x v="7"/>
    <x v="2"/>
    <n v="7"/>
    <n v="8725.18"/>
    <n v="20"/>
    <n v="48861.01"/>
    <n v="30332.959999999999"/>
    <n v="18528.05"/>
    <n v="0.37919907918399554"/>
  </r>
  <r>
    <s v="ORD0125"/>
    <s v="2025-03-11"/>
    <x v="7"/>
    <s v="Q1"/>
    <x v="3"/>
    <x v="2"/>
    <s v="Customer 24"/>
    <x v="0"/>
    <x v="0"/>
    <n v="8"/>
    <n v="28.03"/>
    <n v="20"/>
    <n v="179.39"/>
    <n v="116.92"/>
    <n v="62.47"/>
    <n v="0.34823568760800494"/>
  </r>
  <r>
    <s v="ORD0143"/>
    <s v="2025-03-04"/>
    <x v="7"/>
    <s v="Q1"/>
    <x v="2"/>
    <x v="0"/>
    <s v="Customer 22"/>
    <x v="8"/>
    <x v="3"/>
    <n v="7"/>
    <n v="1515.97"/>
    <n v="20"/>
    <n v="8489.43"/>
    <n v="6994.31"/>
    <n v="1495.12"/>
    <n v="0.17611547536171449"/>
  </r>
  <r>
    <s v="ORD0185"/>
    <s v="2025-03-21"/>
    <x v="7"/>
    <s v="Q1"/>
    <x v="1"/>
    <x v="3"/>
    <s v="Customer 35"/>
    <x v="3"/>
    <x v="0"/>
    <n v="7"/>
    <n v="113.11"/>
    <n v="20"/>
    <n v="633.41999999999996"/>
    <n v="457.22"/>
    <n v="176.2"/>
    <n v="0.27817246061065326"/>
  </r>
  <r>
    <s v="ORD0193"/>
    <s v="2025-03-18"/>
    <x v="7"/>
    <s v="Q1"/>
    <x v="2"/>
    <x v="3"/>
    <s v="Customer 22"/>
    <x v="1"/>
    <x v="1"/>
    <n v="5"/>
    <n v="25047.13"/>
    <n v="20"/>
    <n v="100188.52"/>
    <n v="62353.59"/>
    <n v="37834.93"/>
    <n v="0.37763737801496616"/>
  </r>
  <r>
    <s v="ORD0197"/>
    <s v="2025-03-30"/>
    <x v="7"/>
    <s v="Q1"/>
    <x v="1"/>
    <x v="1"/>
    <s v="Customer 4"/>
    <x v="1"/>
    <x v="1"/>
    <n v="5"/>
    <n v="25829.87"/>
    <n v="20"/>
    <n v="103319.48"/>
    <n v="65510.82"/>
    <n v="37808.660000000003"/>
    <n v="0.36593931754205505"/>
  </r>
  <r>
    <s v="ORD0247"/>
    <s v="2025-03-30"/>
    <x v="7"/>
    <s v="Q1"/>
    <x v="2"/>
    <x v="1"/>
    <s v="Customer 38"/>
    <x v="3"/>
    <x v="0"/>
    <n v="8"/>
    <n v="130.38"/>
    <n v="20"/>
    <n v="834.43"/>
    <n v="554.34"/>
    <n v="280.08999999999997"/>
    <n v="0.33566626319763193"/>
  </r>
  <r>
    <s v="ORD0255"/>
    <s v="2025-03-24"/>
    <x v="7"/>
    <s v="Q1"/>
    <x v="2"/>
    <x v="1"/>
    <s v="Customer 47"/>
    <x v="8"/>
    <x v="3"/>
    <n v="7"/>
    <n v="1647.42"/>
    <n v="20"/>
    <n v="9225.5499999999993"/>
    <n v="5914.73"/>
    <n v="3310.82"/>
    <n v="0.35887508061849976"/>
  </r>
  <r>
    <s v="ORD0300"/>
    <s v="2025-03-20"/>
    <x v="7"/>
    <s v="Q1"/>
    <x v="0"/>
    <x v="3"/>
    <s v="Customer 39"/>
    <x v="7"/>
    <x v="2"/>
    <n v="8"/>
    <n v="8519.4"/>
    <n v="20"/>
    <n v="54524.160000000003"/>
    <n v="38796.410000000003"/>
    <n v="15727.75"/>
    <n v="0.28845469604666996"/>
  </r>
  <r>
    <s v="ORD0323"/>
    <s v="2025-03-06"/>
    <x v="7"/>
    <s v="Q1"/>
    <x v="0"/>
    <x v="0"/>
    <s v="Customer 36"/>
    <x v="9"/>
    <x v="3"/>
    <n v="5"/>
    <n v="479.15"/>
    <n v="20"/>
    <n v="1916.6"/>
    <n v="1084.8900000000001"/>
    <n v="831.71"/>
    <n v="0.43395074611290829"/>
  </r>
  <r>
    <s v="ORD0427"/>
    <s v="2025-03-17"/>
    <x v="7"/>
    <s v="Q1"/>
    <x v="2"/>
    <x v="0"/>
    <s v="Customer 37"/>
    <x v="7"/>
    <x v="2"/>
    <n v="3"/>
    <n v="7515.28"/>
    <n v="20"/>
    <n v="18036.669999999998"/>
    <n v="13012.88"/>
    <n v="5023.79"/>
    <n v="0.27853201283829004"/>
  </r>
  <r>
    <s v="ORD0511"/>
    <s v="2025-03-05"/>
    <x v="7"/>
    <s v="Q1"/>
    <x v="2"/>
    <x v="5"/>
    <s v="Customer 41"/>
    <x v="5"/>
    <x v="1"/>
    <n v="3"/>
    <n v="811.75"/>
    <n v="20"/>
    <n v="1948.2"/>
    <n v="1240.0899999999999"/>
    <n v="708.11"/>
    <n v="0.36346884303459603"/>
  </r>
  <r>
    <s v="ORD0573"/>
    <s v="2025-03-05"/>
    <x v="7"/>
    <s v="Q1"/>
    <x v="1"/>
    <x v="3"/>
    <s v="Customer 16"/>
    <x v="7"/>
    <x v="2"/>
    <n v="2"/>
    <n v="7907.69"/>
    <n v="20"/>
    <n v="12652.3"/>
    <n v="7194.51"/>
    <n v="5457.79"/>
    <n v="0.43136741936248746"/>
  </r>
  <r>
    <s v="ORD0585"/>
    <s v="2025-03-24"/>
    <x v="7"/>
    <s v="Q1"/>
    <x v="3"/>
    <x v="2"/>
    <s v="Customer 3"/>
    <x v="0"/>
    <x v="0"/>
    <n v="3"/>
    <n v="27.93"/>
    <n v="20"/>
    <n v="67.03"/>
    <n v="47.46"/>
    <n v="19.57"/>
    <n v="0.29195882440698195"/>
  </r>
  <r>
    <s v="ORD0813"/>
    <s v="2025-03-18"/>
    <x v="7"/>
    <s v="Q1"/>
    <x v="3"/>
    <x v="0"/>
    <s v="Customer 2"/>
    <x v="6"/>
    <x v="1"/>
    <n v="8"/>
    <n v="58536.27"/>
    <n v="20"/>
    <n v="374632.13"/>
    <n v="210024.12"/>
    <n v="164608.01"/>
    <n v="0.43938572487095545"/>
  </r>
  <r>
    <s v="ORD0960"/>
    <s v="2025-03-03"/>
    <x v="7"/>
    <s v="Q1"/>
    <x v="2"/>
    <x v="5"/>
    <s v="Customer 34"/>
    <x v="2"/>
    <x v="2"/>
    <n v="8"/>
    <n v="4748.1400000000003"/>
    <n v="20"/>
    <n v="30388.1"/>
    <n v="17339.68"/>
    <n v="13048.42"/>
    <n v="0.4293924266406916"/>
  </r>
  <r>
    <s v="ORD0039"/>
    <s v="2025-05-20"/>
    <x v="8"/>
    <s v="Q2"/>
    <x v="0"/>
    <x v="2"/>
    <s v="Customer 23"/>
    <x v="6"/>
    <x v="1"/>
    <n v="7"/>
    <n v="55931.92"/>
    <n v="20"/>
    <n v="313218.75"/>
    <n v="251981.65"/>
    <n v="61237.1"/>
    <n v="0.1955090491868702"/>
  </r>
  <r>
    <s v="ORD0126"/>
    <s v="2025-05-26"/>
    <x v="8"/>
    <s v="Q2"/>
    <x v="1"/>
    <x v="2"/>
    <s v="Customer 5"/>
    <x v="9"/>
    <x v="3"/>
    <n v="3"/>
    <n v="500.34"/>
    <n v="20"/>
    <n v="1200.82"/>
    <n v="796.24"/>
    <n v="404.58"/>
    <n v="0.33691977148948221"/>
  </r>
  <r>
    <s v="ORD0229"/>
    <s v="2025-05-16"/>
    <x v="8"/>
    <s v="Q2"/>
    <x v="3"/>
    <x v="3"/>
    <s v="Customer 27"/>
    <x v="5"/>
    <x v="1"/>
    <n v="1"/>
    <n v="899.51"/>
    <n v="20"/>
    <n v="719.61"/>
    <n v="462.9"/>
    <n v="256.70999999999998"/>
    <n v="0.35673489806978775"/>
  </r>
  <r>
    <s v="ORD0256"/>
    <s v="2025-05-26"/>
    <x v="8"/>
    <s v="Q2"/>
    <x v="0"/>
    <x v="2"/>
    <s v="Customer 40"/>
    <x v="2"/>
    <x v="2"/>
    <n v="4"/>
    <n v="4312.58"/>
    <n v="20"/>
    <n v="13800.26"/>
    <n v="9897.51"/>
    <n v="3902.75"/>
    <n v="0.28280264284875789"/>
  </r>
  <r>
    <s v="ORD0287"/>
    <s v="2025-05-24"/>
    <x v="8"/>
    <s v="Q2"/>
    <x v="0"/>
    <x v="5"/>
    <s v="Customer 30"/>
    <x v="2"/>
    <x v="2"/>
    <n v="3"/>
    <n v="4772.59"/>
    <n v="20"/>
    <n v="11454.22"/>
    <n v="9125.5400000000009"/>
    <n v="2328.6799999999998"/>
    <n v="0.2033032367110113"/>
  </r>
  <r>
    <s v="ORD0289"/>
    <s v="2025-05-13"/>
    <x v="8"/>
    <s v="Q2"/>
    <x v="2"/>
    <x v="2"/>
    <s v="Customer 37"/>
    <x v="1"/>
    <x v="1"/>
    <n v="5"/>
    <n v="24215.119999999999"/>
    <n v="20"/>
    <n v="96860.479999999996"/>
    <n v="61073.63"/>
    <n v="35786.85"/>
    <n v="0.36946802245869526"/>
  </r>
  <r>
    <s v="ORD0414"/>
    <s v="2025-05-12"/>
    <x v="8"/>
    <s v="Q2"/>
    <x v="0"/>
    <x v="4"/>
    <s v="Customer 6"/>
    <x v="0"/>
    <x v="0"/>
    <n v="4"/>
    <n v="32.14"/>
    <n v="20"/>
    <n v="102.85"/>
    <n v="58.99"/>
    <n v="43.86"/>
    <n v="0.42644628099173554"/>
  </r>
  <r>
    <s v="ORD0435"/>
    <s v="2025-05-28"/>
    <x v="8"/>
    <s v="Q2"/>
    <x v="3"/>
    <x v="3"/>
    <s v="Customer 29"/>
    <x v="9"/>
    <x v="3"/>
    <n v="2"/>
    <n v="466.69"/>
    <n v="20"/>
    <n v="746.7"/>
    <n v="633.5"/>
    <n v="113.2"/>
    <n v="0.15160037498325968"/>
  </r>
  <r>
    <s v="ORD0445"/>
    <s v="2025-05-15"/>
    <x v="8"/>
    <s v="Q2"/>
    <x v="3"/>
    <x v="0"/>
    <s v="Customer 37"/>
    <x v="0"/>
    <x v="0"/>
    <n v="6"/>
    <n v="27.66"/>
    <n v="20"/>
    <n v="132.77000000000001"/>
    <n v="110.5"/>
    <n v="22.27"/>
    <n v="0.16773367477592829"/>
  </r>
  <r>
    <s v="ORD0447"/>
    <s v="2025-05-30"/>
    <x v="8"/>
    <s v="Q2"/>
    <x v="3"/>
    <x v="3"/>
    <s v="Customer 8"/>
    <x v="5"/>
    <x v="1"/>
    <n v="1"/>
    <n v="989.38"/>
    <n v="20"/>
    <n v="791.5"/>
    <n v="576.65"/>
    <n v="214.85"/>
    <n v="0.27144662034112443"/>
  </r>
  <r>
    <s v="ORD0532"/>
    <s v="2025-05-04"/>
    <x v="8"/>
    <s v="Q2"/>
    <x v="1"/>
    <x v="0"/>
    <s v="Customer 4"/>
    <x v="5"/>
    <x v="1"/>
    <n v="3"/>
    <n v="956.51"/>
    <n v="20"/>
    <n v="2295.62"/>
    <n v="1578.97"/>
    <n v="716.65"/>
    <n v="0.31218145860377589"/>
  </r>
  <r>
    <s v="ORD0543"/>
    <s v="2025-05-23"/>
    <x v="8"/>
    <s v="Q2"/>
    <x v="0"/>
    <x v="4"/>
    <s v="Customer 16"/>
    <x v="5"/>
    <x v="1"/>
    <n v="5"/>
    <n v="913.65"/>
    <n v="20"/>
    <n v="3654.6"/>
    <n v="3034.94"/>
    <n v="619.66"/>
    <n v="0.16955617577847096"/>
  </r>
  <r>
    <s v="ORD0609"/>
    <s v="2025-05-14"/>
    <x v="8"/>
    <s v="Q2"/>
    <x v="2"/>
    <x v="5"/>
    <s v="Customer 44"/>
    <x v="4"/>
    <x v="1"/>
    <n v="7"/>
    <n v="2464.5500000000002"/>
    <n v="20"/>
    <n v="13801.48"/>
    <n v="10469.49"/>
    <n v="3331.99"/>
    <n v="0.24142265901917764"/>
  </r>
  <r>
    <s v="ORD0622"/>
    <s v="2025-05-17"/>
    <x v="8"/>
    <s v="Q2"/>
    <x v="3"/>
    <x v="2"/>
    <s v="Customer 44"/>
    <x v="6"/>
    <x v="1"/>
    <n v="5"/>
    <n v="63078.81"/>
    <n v="20"/>
    <n v="252315.24"/>
    <n v="185261.12"/>
    <n v="67054.12"/>
    <n v="0.2657553305143201"/>
  </r>
  <r>
    <s v="ORD0629"/>
    <s v="2025-05-17"/>
    <x v="8"/>
    <s v="Q2"/>
    <x v="1"/>
    <x v="4"/>
    <s v="Customer 27"/>
    <x v="3"/>
    <x v="0"/>
    <n v="5"/>
    <n v="128.63999999999999"/>
    <n v="20"/>
    <n v="514.55999999999995"/>
    <n v="311.74"/>
    <n v="202.82"/>
    <n v="0.39416200248756222"/>
  </r>
  <r>
    <s v="ORD0640"/>
    <s v="2025-05-20"/>
    <x v="8"/>
    <s v="Q2"/>
    <x v="3"/>
    <x v="4"/>
    <s v="Customer 50"/>
    <x v="7"/>
    <x v="2"/>
    <n v="7"/>
    <n v="7541.44"/>
    <n v="20"/>
    <n v="42232.06"/>
    <n v="33629.79"/>
    <n v="8602.27"/>
    <n v="0.20369051379449643"/>
  </r>
  <r>
    <s v="ORD0676"/>
    <s v="2025-05-01"/>
    <x v="8"/>
    <s v="Q2"/>
    <x v="1"/>
    <x v="4"/>
    <s v="Customer 26"/>
    <x v="6"/>
    <x v="1"/>
    <n v="8"/>
    <n v="64766.15"/>
    <n v="20"/>
    <n v="414503.36"/>
    <n v="244796.98"/>
    <n v="169706.38"/>
    <n v="0.40942099962712003"/>
  </r>
  <r>
    <s v="ORD0831"/>
    <s v="2025-05-17"/>
    <x v="8"/>
    <s v="Q2"/>
    <x v="3"/>
    <x v="1"/>
    <s v="Customer 44"/>
    <x v="4"/>
    <x v="1"/>
    <n v="8"/>
    <n v="2344.89"/>
    <n v="20"/>
    <n v="15007.3"/>
    <n v="10966.09"/>
    <n v="4041.21"/>
    <n v="0.26928294896483712"/>
  </r>
  <r>
    <s v="ORD0845"/>
    <s v="2025-05-24"/>
    <x v="8"/>
    <s v="Q2"/>
    <x v="1"/>
    <x v="4"/>
    <s v="Customer 46"/>
    <x v="7"/>
    <x v="2"/>
    <n v="4"/>
    <n v="8544.5300000000007"/>
    <n v="20"/>
    <n v="27342.5"/>
    <n v="17809.98"/>
    <n v="9532.52"/>
    <n v="0.34863381183139802"/>
  </r>
  <r>
    <s v="ORD0884"/>
    <s v="2025-05-28"/>
    <x v="8"/>
    <s v="Q2"/>
    <x v="3"/>
    <x v="0"/>
    <s v="Customer 22"/>
    <x v="8"/>
    <x v="3"/>
    <n v="5"/>
    <n v="1635.54"/>
    <n v="20"/>
    <n v="6542.16"/>
    <n v="3910.59"/>
    <n v="2631.57"/>
    <n v="0.40224788143365497"/>
  </r>
  <r>
    <s v="ORD0926"/>
    <s v="2025-05-07"/>
    <x v="8"/>
    <s v="Q2"/>
    <x v="0"/>
    <x v="2"/>
    <s v="Customer 20"/>
    <x v="3"/>
    <x v="0"/>
    <n v="2"/>
    <n v="114.19"/>
    <n v="20"/>
    <n v="182.7"/>
    <n v="133.62"/>
    <n v="49.08"/>
    <n v="0.26863711001642038"/>
  </r>
  <r>
    <s v="ORD0085"/>
    <s v="2025-11-05"/>
    <x v="9"/>
    <s v="Q4"/>
    <x v="1"/>
    <x v="2"/>
    <s v="Customer 44"/>
    <x v="1"/>
    <x v="1"/>
    <n v="1"/>
    <n v="26856.42"/>
    <n v="20"/>
    <n v="21485.14"/>
    <n v="17700.05"/>
    <n v="3785.09"/>
    <n v="0.17617246152457003"/>
  </r>
  <r>
    <s v="ORD0091"/>
    <s v="2025-11-23"/>
    <x v="9"/>
    <s v="Q4"/>
    <x v="0"/>
    <x v="4"/>
    <s v="Customer 6"/>
    <x v="1"/>
    <x v="1"/>
    <n v="7"/>
    <n v="26613.39"/>
    <n v="20"/>
    <n v="149034.98000000001"/>
    <n v="97559.08"/>
    <n v="51475.9"/>
    <n v="0.34539475229238126"/>
  </r>
  <r>
    <s v="ORD0196"/>
    <s v="2025-11-20"/>
    <x v="9"/>
    <s v="Q4"/>
    <x v="3"/>
    <x v="4"/>
    <s v="Customer 25"/>
    <x v="6"/>
    <x v="1"/>
    <n v="4"/>
    <n v="54272.34"/>
    <n v="20"/>
    <n v="173671.49"/>
    <n v="103565.57"/>
    <n v="70105.919999999998"/>
    <n v="0.40366970997945606"/>
  </r>
  <r>
    <s v="ORD0291"/>
    <s v="2025-11-19"/>
    <x v="9"/>
    <s v="Q4"/>
    <x v="2"/>
    <x v="2"/>
    <s v="Customer 38"/>
    <x v="4"/>
    <x v="1"/>
    <n v="3"/>
    <n v="2425.62"/>
    <n v="20"/>
    <n v="5821.49"/>
    <n v="3509.88"/>
    <n v="2311.61"/>
    <n v="0.39708219029836006"/>
  </r>
  <r>
    <s v="ORD0356"/>
    <s v="2025-11-06"/>
    <x v="9"/>
    <s v="Q4"/>
    <x v="2"/>
    <x v="4"/>
    <s v="Customer 28"/>
    <x v="5"/>
    <x v="1"/>
    <n v="4"/>
    <n v="946.19"/>
    <n v="20"/>
    <n v="3027.81"/>
    <n v="2323.4899999999998"/>
    <n v="704.32"/>
    <n v="0.23261697398449707"/>
  </r>
  <r>
    <s v="ORD0467"/>
    <s v="2025-11-09"/>
    <x v="9"/>
    <s v="Q4"/>
    <x v="0"/>
    <x v="5"/>
    <s v="Customer 28"/>
    <x v="9"/>
    <x v="3"/>
    <n v="2"/>
    <n v="547.64"/>
    <n v="20"/>
    <n v="876.22"/>
    <n v="571.03"/>
    <n v="305.19"/>
    <n v="0.34830293761840631"/>
  </r>
  <r>
    <s v="ORD0567"/>
    <s v="2025-11-27"/>
    <x v="9"/>
    <s v="Q4"/>
    <x v="1"/>
    <x v="3"/>
    <s v="Customer 19"/>
    <x v="8"/>
    <x v="3"/>
    <n v="3"/>
    <n v="1537.18"/>
    <n v="20"/>
    <n v="3689.23"/>
    <n v="2465.84"/>
    <n v="1223.3900000000001"/>
    <n v="0.3316112034218523"/>
  </r>
  <r>
    <s v="ORD0592"/>
    <s v="2025-11-07"/>
    <x v="9"/>
    <s v="Q4"/>
    <x v="1"/>
    <x v="5"/>
    <s v="Customer 6"/>
    <x v="5"/>
    <x v="1"/>
    <n v="5"/>
    <n v="877.65"/>
    <n v="20"/>
    <n v="3510.6"/>
    <n v="2326.4299999999998"/>
    <n v="1184.17"/>
    <n v="0.33731271007804936"/>
  </r>
  <r>
    <s v="ORD0612"/>
    <s v="2025-11-22"/>
    <x v="9"/>
    <s v="Q4"/>
    <x v="1"/>
    <x v="2"/>
    <s v="Customer 37"/>
    <x v="5"/>
    <x v="1"/>
    <n v="2"/>
    <n v="878.53"/>
    <n v="20"/>
    <n v="1405.65"/>
    <n v="1084.1300000000001"/>
    <n v="321.52"/>
    <n v="0.22873403763383485"/>
  </r>
  <r>
    <s v="ORD0702"/>
    <s v="2025-11-30"/>
    <x v="9"/>
    <s v="Q4"/>
    <x v="3"/>
    <x v="1"/>
    <s v="Customer 6"/>
    <x v="6"/>
    <x v="1"/>
    <n v="8"/>
    <n v="58674.79"/>
    <n v="20"/>
    <n v="375518.66"/>
    <n v="251479.34"/>
    <n v="124039.32"/>
    <n v="0.33031466399033277"/>
  </r>
  <r>
    <s v="ORD0767"/>
    <s v="2025-11-30"/>
    <x v="9"/>
    <s v="Q4"/>
    <x v="3"/>
    <x v="0"/>
    <s v="Customer 2"/>
    <x v="0"/>
    <x v="0"/>
    <n v="2"/>
    <n v="28.46"/>
    <n v="20"/>
    <n v="45.54"/>
    <n v="26.57"/>
    <n v="18.97"/>
    <n v="0.41655687307861217"/>
  </r>
  <r>
    <s v="ORD0791"/>
    <s v="2025-11-13"/>
    <x v="9"/>
    <s v="Q4"/>
    <x v="0"/>
    <x v="1"/>
    <s v="Customer 40"/>
    <x v="4"/>
    <x v="1"/>
    <n v="5"/>
    <n v="2351.9499999999998"/>
    <n v="20"/>
    <n v="9407.7999999999993"/>
    <n v="7134.11"/>
    <n v="2273.69"/>
    <n v="0.24168137077744001"/>
  </r>
  <r>
    <s v="ORD0832"/>
    <s v="2025-11-26"/>
    <x v="9"/>
    <s v="Q4"/>
    <x v="2"/>
    <x v="2"/>
    <s v="Customer 18"/>
    <x v="8"/>
    <x v="3"/>
    <n v="3"/>
    <n v="1500.66"/>
    <n v="20"/>
    <n v="3601.58"/>
    <n v="2919.15"/>
    <n v="682.43"/>
    <n v="0.18948072790275378"/>
  </r>
  <r>
    <s v="ORD0850"/>
    <s v="2025-11-06"/>
    <x v="9"/>
    <s v="Q4"/>
    <x v="3"/>
    <x v="3"/>
    <s v="Customer 33"/>
    <x v="1"/>
    <x v="1"/>
    <n v="5"/>
    <n v="27494.9"/>
    <n v="20"/>
    <n v="109979.6"/>
    <n v="85637.24"/>
    <n v="24342.36"/>
    <n v="0.22133522944255116"/>
  </r>
  <r>
    <s v="ORD0905"/>
    <s v="2025-11-14"/>
    <x v="9"/>
    <s v="Q4"/>
    <x v="3"/>
    <x v="4"/>
    <s v="Customer 15"/>
    <x v="7"/>
    <x v="2"/>
    <n v="5"/>
    <n v="7446.1"/>
    <n v="20"/>
    <n v="29784.400000000001"/>
    <n v="18443.28"/>
    <n v="11341.12"/>
    <n v="0.3807738279099126"/>
  </r>
  <r>
    <s v="ORD0970"/>
    <s v="2025-11-23"/>
    <x v="9"/>
    <s v="Q4"/>
    <x v="2"/>
    <x v="5"/>
    <s v="Customer 1"/>
    <x v="3"/>
    <x v="0"/>
    <n v="2"/>
    <n v="108.17"/>
    <n v="20"/>
    <n v="173.07"/>
    <n v="126.31"/>
    <n v="46.76"/>
    <n v="0.27017969607673198"/>
  </r>
  <r>
    <s v="ORD0974"/>
    <s v="2025-11-12"/>
    <x v="9"/>
    <s v="Q4"/>
    <x v="2"/>
    <x v="2"/>
    <s v="Customer 10"/>
    <x v="4"/>
    <x v="1"/>
    <n v="6"/>
    <n v="2660.4"/>
    <n v="20"/>
    <n v="12769.92"/>
    <n v="9843.9"/>
    <n v="2926.02"/>
    <n v="0.22913377687565778"/>
  </r>
  <r>
    <s v="ORD0103"/>
    <s v="2025-10-21"/>
    <x v="10"/>
    <s v="Q4"/>
    <x v="0"/>
    <x v="2"/>
    <s v="Customer 24"/>
    <x v="9"/>
    <x v="3"/>
    <n v="7"/>
    <n v="470.85"/>
    <n v="20"/>
    <n v="2636.76"/>
    <n v="1803.84"/>
    <n v="832.92"/>
    <n v="0.31588768033495651"/>
  </r>
  <r>
    <s v="ORD0245"/>
    <s v="2025-10-08"/>
    <x v="10"/>
    <s v="Q4"/>
    <x v="0"/>
    <x v="3"/>
    <s v="Customer 39"/>
    <x v="1"/>
    <x v="1"/>
    <n v="4"/>
    <n v="24143.54"/>
    <n v="20"/>
    <n v="77259.33"/>
    <n v="46636.7"/>
    <n v="30622.63"/>
    <n v="0.39636157859510301"/>
  </r>
  <r>
    <s v="ORD0273"/>
    <s v="2025-10-03"/>
    <x v="10"/>
    <s v="Q4"/>
    <x v="1"/>
    <x v="2"/>
    <s v="Customer 19"/>
    <x v="6"/>
    <x v="1"/>
    <n v="7"/>
    <n v="56792.83"/>
    <n v="20"/>
    <n v="318039.84999999998"/>
    <n v="191237.56"/>
    <n v="126802.29"/>
    <n v="0.39869937682337608"/>
  </r>
  <r>
    <s v="ORD0395"/>
    <s v="2025-10-09"/>
    <x v="10"/>
    <s v="Q4"/>
    <x v="2"/>
    <x v="5"/>
    <s v="Customer 41"/>
    <x v="8"/>
    <x v="3"/>
    <n v="6"/>
    <n v="1631.17"/>
    <n v="20"/>
    <n v="7829.62"/>
    <n v="6654.57"/>
    <n v="1175.05"/>
    <n v="0.15007752611237837"/>
  </r>
  <r>
    <s v="ORD0456"/>
    <s v="2025-10-22"/>
    <x v="10"/>
    <s v="Q4"/>
    <x v="2"/>
    <x v="0"/>
    <s v="Customer 39"/>
    <x v="8"/>
    <x v="3"/>
    <n v="3"/>
    <n v="1626.58"/>
    <n v="20"/>
    <n v="3903.79"/>
    <n v="3044.35"/>
    <n v="859.44"/>
    <n v="0.22015528499227674"/>
  </r>
  <r>
    <s v="ORD0504"/>
    <s v="2025-10-22"/>
    <x v="10"/>
    <s v="Q4"/>
    <x v="0"/>
    <x v="2"/>
    <s v="Customer 10"/>
    <x v="9"/>
    <x v="3"/>
    <n v="1"/>
    <n v="459.5"/>
    <n v="20"/>
    <n v="367.6"/>
    <n v="205.05"/>
    <n v="162.55000000000001"/>
    <n v="0.44219260065288357"/>
  </r>
  <r>
    <s v="ORD0843"/>
    <s v="2025-10-08"/>
    <x v="10"/>
    <s v="Q4"/>
    <x v="3"/>
    <x v="5"/>
    <s v="Customer 48"/>
    <x v="4"/>
    <x v="1"/>
    <n v="2"/>
    <n v="2276.48"/>
    <n v="20"/>
    <n v="3642.37"/>
    <n v="2555.94"/>
    <n v="1086.43"/>
    <n v="0.2982755733217658"/>
  </r>
  <r>
    <s v="ORD0954"/>
    <s v="2025-10-03"/>
    <x v="10"/>
    <s v="Q4"/>
    <x v="1"/>
    <x v="2"/>
    <s v="Customer 46"/>
    <x v="0"/>
    <x v="0"/>
    <n v="3"/>
    <n v="32.01"/>
    <n v="20"/>
    <n v="76.819999999999993"/>
    <n v="46.75"/>
    <n v="30.07"/>
    <n v="0.39143452225982822"/>
  </r>
  <r>
    <s v="ORD0979"/>
    <s v="2025-10-13"/>
    <x v="10"/>
    <s v="Q4"/>
    <x v="1"/>
    <x v="4"/>
    <s v="Customer 43"/>
    <x v="2"/>
    <x v="2"/>
    <n v="4"/>
    <n v="4663.0600000000004"/>
    <n v="20"/>
    <n v="14921.79"/>
    <n v="9015.94"/>
    <n v="5905.85"/>
    <n v="0.39578696657706613"/>
  </r>
  <r>
    <s v="ORD0987"/>
    <s v="2025-10-31"/>
    <x v="10"/>
    <s v="Q4"/>
    <x v="0"/>
    <x v="2"/>
    <s v="Customer 12"/>
    <x v="3"/>
    <x v="0"/>
    <n v="7"/>
    <n v="121.03"/>
    <n v="20"/>
    <n v="677.77"/>
    <n v="444.28"/>
    <n v="233.49"/>
    <n v="0.34449739587175593"/>
  </r>
  <r>
    <s v="ORD0025"/>
    <s v="2025-09-18"/>
    <x v="11"/>
    <s v="Q3"/>
    <x v="1"/>
    <x v="5"/>
    <s v="Customer 36"/>
    <x v="9"/>
    <x v="3"/>
    <n v="3"/>
    <n v="492.59"/>
    <n v="20"/>
    <n v="1182.22"/>
    <n v="786.62"/>
    <n v="395.6"/>
    <n v="0.33462468914415255"/>
  </r>
  <r>
    <s v="ORD0332"/>
    <s v="2025-09-17"/>
    <x v="11"/>
    <s v="Q3"/>
    <x v="0"/>
    <x v="3"/>
    <s v="Customer 32"/>
    <x v="5"/>
    <x v="1"/>
    <n v="7"/>
    <n v="825.57"/>
    <n v="20"/>
    <n v="4623.1899999999996"/>
    <n v="2552.92"/>
    <n v="2070.27"/>
    <n v="0.44780119354817782"/>
  </r>
  <r>
    <s v="ORD0338"/>
    <s v="2025-09-15"/>
    <x v="11"/>
    <s v="Q3"/>
    <x v="1"/>
    <x v="2"/>
    <s v="Customer 10"/>
    <x v="2"/>
    <x v="2"/>
    <n v="1"/>
    <n v="4096.2299999999996"/>
    <n v="20"/>
    <n v="3276.98"/>
    <n v="2535.56"/>
    <n v="741.42"/>
    <n v="0.22625099939578514"/>
  </r>
  <r>
    <s v="ORD0345"/>
    <s v="2025-09-08"/>
    <x v="11"/>
    <s v="Q3"/>
    <x v="2"/>
    <x v="5"/>
    <s v="Customer 44"/>
    <x v="1"/>
    <x v="1"/>
    <n v="6"/>
    <n v="22676.5"/>
    <n v="20"/>
    <n v="108847.2"/>
    <n v="71574.649999999994"/>
    <n v="37272.550000000003"/>
    <n v="0.34243003035447861"/>
  </r>
  <r>
    <s v="ORD0396"/>
    <s v="2025-09-08"/>
    <x v="11"/>
    <s v="Q3"/>
    <x v="2"/>
    <x v="1"/>
    <s v="Customer 26"/>
    <x v="8"/>
    <x v="3"/>
    <n v="2"/>
    <n v="1543.83"/>
    <n v="20"/>
    <n v="2470.13"/>
    <n v="1872.53"/>
    <n v="597.6"/>
    <n v="0.24193058664928566"/>
  </r>
  <r>
    <s v="ORD0481"/>
    <s v="2025-09-30"/>
    <x v="11"/>
    <s v="Q3"/>
    <x v="1"/>
    <x v="4"/>
    <s v="Customer 21"/>
    <x v="1"/>
    <x v="1"/>
    <n v="4"/>
    <n v="27013.89"/>
    <n v="20"/>
    <n v="86444.45"/>
    <n v="57300.73"/>
    <n v="29143.72"/>
    <n v="0.33713812743328231"/>
  </r>
  <r>
    <s v="ORD0489"/>
    <s v="2025-09-13"/>
    <x v="11"/>
    <s v="Q3"/>
    <x v="0"/>
    <x v="4"/>
    <s v="Customer 45"/>
    <x v="7"/>
    <x v="2"/>
    <n v="4"/>
    <n v="7519.72"/>
    <n v="20"/>
    <n v="24063.1"/>
    <n v="20192.71"/>
    <n v="3870.39"/>
    <n v="0.16084336598360144"/>
  </r>
  <r>
    <s v="ORD0608"/>
    <s v="2025-09-27"/>
    <x v="11"/>
    <s v="Q3"/>
    <x v="2"/>
    <x v="0"/>
    <s v="Customer 22"/>
    <x v="7"/>
    <x v="2"/>
    <n v="6"/>
    <n v="8777.2099999999991"/>
    <n v="20"/>
    <n v="42130.61"/>
    <n v="28913.25"/>
    <n v="13217.36"/>
    <n v="0.31372344240921268"/>
  </r>
  <r>
    <s v="ORD0644"/>
    <s v="2025-09-03"/>
    <x v="11"/>
    <s v="Q3"/>
    <x v="0"/>
    <x v="5"/>
    <s v="Customer 45"/>
    <x v="0"/>
    <x v="0"/>
    <n v="6"/>
    <n v="28.91"/>
    <n v="20"/>
    <n v="138.77000000000001"/>
    <n v="104.01"/>
    <n v="34.76"/>
    <n v="0.25048641637241476"/>
  </r>
  <r>
    <s v="ORD0673"/>
    <s v="2025-09-02"/>
    <x v="11"/>
    <s v="Q3"/>
    <x v="3"/>
    <x v="3"/>
    <s v="Customer 4"/>
    <x v="2"/>
    <x v="2"/>
    <n v="2"/>
    <n v="4841.13"/>
    <n v="20"/>
    <n v="7745.81"/>
    <n v="4480.88"/>
    <n v="3264.93"/>
    <n v="0.42150917721968389"/>
  </r>
  <r>
    <s v="ORD0688"/>
    <s v="2025-09-07"/>
    <x v="11"/>
    <s v="Q3"/>
    <x v="0"/>
    <x v="2"/>
    <s v="Customer 40"/>
    <x v="6"/>
    <x v="1"/>
    <n v="4"/>
    <n v="55244.84"/>
    <n v="20"/>
    <n v="176783.49"/>
    <n v="132587.76999999999"/>
    <n v="44195.72"/>
    <n v="0.24999913736288384"/>
  </r>
  <r>
    <s v="ORD0720"/>
    <s v="2025-09-13"/>
    <x v="11"/>
    <s v="Q3"/>
    <x v="3"/>
    <x v="4"/>
    <s v="Customer 44"/>
    <x v="3"/>
    <x v="0"/>
    <n v="1"/>
    <n v="113.59"/>
    <n v="20"/>
    <n v="90.87"/>
    <n v="61.61"/>
    <n v="29.26"/>
    <n v="0.32199845933751514"/>
  </r>
  <r>
    <s v="ORD0723"/>
    <s v="2025-09-10"/>
    <x v="11"/>
    <s v="Q3"/>
    <x v="0"/>
    <x v="3"/>
    <s v="Customer 25"/>
    <x v="5"/>
    <x v="1"/>
    <n v="6"/>
    <n v="881.64"/>
    <n v="20"/>
    <n v="4231.87"/>
    <n v="2615.79"/>
    <n v="1616.08"/>
    <n v="0.38188318639277669"/>
  </r>
  <r>
    <s v="ORD0738"/>
    <s v="2025-09-09"/>
    <x v="11"/>
    <s v="Q3"/>
    <x v="0"/>
    <x v="2"/>
    <s v="Customer 38"/>
    <x v="3"/>
    <x v="0"/>
    <n v="5"/>
    <n v="112.53"/>
    <n v="20"/>
    <n v="450.12"/>
    <n v="301.02"/>
    <n v="149.1"/>
    <n v="0.33124500133297785"/>
  </r>
  <r>
    <s v="ORD0750"/>
    <s v="2025-09-13"/>
    <x v="11"/>
    <s v="Q3"/>
    <x v="3"/>
    <x v="0"/>
    <s v="Customer 35"/>
    <x v="4"/>
    <x v="1"/>
    <n v="5"/>
    <n v="2685.43"/>
    <n v="20"/>
    <n v="10741.72"/>
    <n v="7371.63"/>
    <n v="3370.09"/>
    <n v="0.31373839571316331"/>
  </r>
  <r>
    <s v="ORD0762"/>
    <s v="2025-09-26"/>
    <x v="11"/>
    <s v="Q3"/>
    <x v="2"/>
    <x v="4"/>
    <s v="Customer 28"/>
    <x v="8"/>
    <x v="3"/>
    <n v="3"/>
    <n v="1591.16"/>
    <n v="20"/>
    <n v="3818.78"/>
    <n v="3069.49"/>
    <n v="749.29"/>
    <n v="0.19621187918654648"/>
  </r>
  <r>
    <s v="ORD0798"/>
    <s v="2025-09-25"/>
    <x v="11"/>
    <s v="Q3"/>
    <x v="3"/>
    <x v="4"/>
    <s v="Customer 21"/>
    <x v="5"/>
    <x v="1"/>
    <n v="2"/>
    <n v="859.47"/>
    <n v="20"/>
    <n v="1375.15"/>
    <n v="985.13"/>
    <n v="390.02"/>
    <n v="0.2836199687306839"/>
  </r>
  <r>
    <s v="ORD0934"/>
    <s v="2025-09-13"/>
    <x v="11"/>
    <s v="Q3"/>
    <x v="1"/>
    <x v="4"/>
    <s v="Customer 36"/>
    <x v="7"/>
    <x v="2"/>
    <n v="5"/>
    <n v="8117.84"/>
    <n v="20"/>
    <n v="32471.360000000001"/>
    <n v="23110.720000000001"/>
    <n v="9360.64"/>
    <n v="0.2882737279867551"/>
  </r>
  <r>
    <s v="ORD0046"/>
    <s v="2025-04-20"/>
    <x v="0"/>
    <s v="Q2"/>
    <x v="1"/>
    <x v="2"/>
    <s v="Customer 43"/>
    <x v="5"/>
    <x v="1"/>
    <n v="4"/>
    <n v="823.85"/>
    <n v="15"/>
    <n v="2801.09"/>
    <n v="1957.98"/>
    <n v="843.11"/>
    <n v="0.30099354179979937"/>
  </r>
  <r>
    <s v="ORD0062"/>
    <s v="2025-04-08"/>
    <x v="0"/>
    <s v="Q2"/>
    <x v="0"/>
    <x v="0"/>
    <s v="Customer 9"/>
    <x v="4"/>
    <x v="1"/>
    <n v="4"/>
    <n v="2692.08"/>
    <n v="15"/>
    <n v="9153.07"/>
    <n v="7148.87"/>
    <n v="2004.2"/>
    <n v="0.21896478449307175"/>
  </r>
  <r>
    <s v="ORD0077"/>
    <s v="2025-04-04"/>
    <x v="0"/>
    <s v="Q2"/>
    <x v="2"/>
    <x v="0"/>
    <s v="Customer 19"/>
    <x v="6"/>
    <x v="1"/>
    <n v="3"/>
    <n v="64184.56"/>
    <n v="15"/>
    <n v="163670.63"/>
    <n v="127375.14"/>
    <n v="36295.49"/>
    <n v="0.22175933458556368"/>
  </r>
  <r>
    <s v="ORD0166"/>
    <s v="2025-04-16"/>
    <x v="0"/>
    <s v="Q2"/>
    <x v="2"/>
    <x v="1"/>
    <s v="Customer 26"/>
    <x v="0"/>
    <x v="0"/>
    <n v="1"/>
    <n v="29.86"/>
    <n v="15"/>
    <n v="25.38"/>
    <n v="20.83"/>
    <n v="4.55"/>
    <n v="0.17927501970055162"/>
  </r>
  <r>
    <s v="ORD0172"/>
    <s v="2025-04-07"/>
    <x v="0"/>
    <s v="Q2"/>
    <x v="1"/>
    <x v="5"/>
    <s v="Customer 31"/>
    <x v="2"/>
    <x v="2"/>
    <n v="1"/>
    <n v="4278.91"/>
    <n v="15"/>
    <n v="3637.07"/>
    <n v="2605.94"/>
    <n v="1031.1300000000001"/>
    <n v="0.28350567902185003"/>
  </r>
  <r>
    <s v="ORD0262"/>
    <s v="2025-04-01"/>
    <x v="0"/>
    <s v="Q2"/>
    <x v="0"/>
    <x v="0"/>
    <s v="Customer 39"/>
    <x v="3"/>
    <x v="0"/>
    <n v="3"/>
    <n v="114.83"/>
    <n v="15"/>
    <n v="292.82"/>
    <n v="247.13"/>
    <n v="45.69"/>
    <n v="0.15603442387815039"/>
  </r>
  <r>
    <s v="ORD0304"/>
    <s v="2025-04-21"/>
    <x v="0"/>
    <s v="Q2"/>
    <x v="2"/>
    <x v="4"/>
    <s v="Customer 26"/>
    <x v="3"/>
    <x v="0"/>
    <n v="1"/>
    <n v="122.57"/>
    <n v="15"/>
    <n v="104.18"/>
    <n v="58.08"/>
    <n v="46.1"/>
    <n v="0.44250335956997505"/>
  </r>
  <r>
    <s v="ORD0312"/>
    <s v="2025-04-28"/>
    <x v="0"/>
    <s v="Q2"/>
    <x v="1"/>
    <x v="0"/>
    <s v="Customer 47"/>
    <x v="8"/>
    <x v="3"/>
    <n v="2"/>
    <n v="1377.63"/>
    <n v="15"/>
    <n v="2341.9699999999998"/>
    <n v="1849.91"/>
    <n v="492.06"/>
    <n v="0.21010516787149283"/>
  </r>
  <r>
    <s v="ORD0316"/>
    <s v="2025-04-10"/>
    <x v="0"/>
    <s v="Q2"/>
    <x v="3"/>
    <x v="4"/>
    <s v="Customer 43"/>
    <x v="0"/>
    <x v="0"/>
    <n v="4"/>
    <n v="31.46"/>
    <n v="15"/>
    <n v="106.96"/>
    <n v="74.91"/>
    <n v="32.049999999999997"/>
    <n v="0.29964472700074796"/>
  </r>
  <r>
    <s v="ORD0333"/>
    <s v="2025-04-14"/>
    <x v="0"/>
    <s v="Q2"/>
    <x v="0"/>
    <x v="3"/>
    <s v="Customer 34"/>
    <x v="9"/>
    <x v="3"/>
    <n v="5"/>
    <n v="460.89"/>
    <n v="15"/>
    <n v="1958.78"/>
    <n v="1221"/>
    <n v="737.78"/>
    <n v="0.37665281450698901"/>
  </r>
  <r>
    <s v="ORD0355"/>
    <s v="2025-04-16"/>
    <x v="0"/>
    <s v="Q2"/>
    <x v="0"/>
    <x v="5"/>
    <s v="Customer 41"/>
    <x v="2"/>
    <x v="2"/>
    <n v="3"/>
    <n v="4462.63"/>
    <n v="15"/>
    <n v="11379.71"/>
    <n v="7179.96"/>
    <n v="4199.75"/>
    <n v="0.36905597770066201"/>
  </r>
  <r>
    <s v="ORD0515"/>
    <s v="2025-04-27"/>
    <x v="0"/>
    <s v="Q2"/>
    <x v="0"/>
    <x v="3"/>
    <s v="Customer 35"/>
    <x v="9"/>
    <x v="3"/>
    <n v="3"/>
    <n v="528.94000000000005"/>
    <n v="15"/>
    <n v="1348.8"/>
    <n v="1076.17"/>
    <n v="272.63"/>
    <n v="0.20212781731909846"/>
  </r>
  <r>
    <s v="ORD0566"/>
    <s v="2025-04-25"/>
    <x v="0"/>
    <s v="Q2"/>
    <x v="1"/>
    <x v="4"/>
    <s v="Customer 45"/>
    <x v="3"/>
    <x v="0"/>
    <n v="4"/>
    <n v="112.91"/>
    <n v="15"/>
    <n v="383.89"/>
    <n v="260.75"/>
    <n v="123.14"/>
    <n v="0.32076897027794421"/>
  </r>
  <r>
    <s v="ORD0675"/>
    <s v="2025-04-27"/>
    <x v="0"/>
    <s v="Q2"/>
    <x v="0"/>
    <x v="1"/>
    <s v="Customer 48"/>
    <x v="1"/>
    <x v="1"/>
    <n v="7"/>
    <n v="22693.85"/>
    <n v="15"/>
    <n v="135028.41"/>
    <n v="76013.33"/>
    <n v="59015.08"/>
    <n v="0.43705676457272957"/>
  </r>
  <r>
    <s v="ORD0680"/>
    <s v="2025-04-30"/>
    <x v="0"/>
    <s v="Q2"/>
    <x v="0"/>
    <x v="1"/>
    <s v="Customer 48"/>
    <x v="7"/>
    <x v="2"/>
    <n v="7"/>
    <n v="7914.87"/>
    <n v="15"/>
    <n v="47093.48"/>
    <n v="35374.879999999997"/>
    <n v="11718.6"/>
    <n v="0.2488369939957718"/>
  </r>
  <r>
    <s v="ORD0696"/>
    <s v="2025-04-28"/>
    <x v="0"/>
    <s v="Q2"/>
    <x v="2"/>
    <x v="1"/>
    <s v="Customer 45"/>
    <x v="4"/>
    <x v="1"/>
    <n v="6"/>
    <n v="2410.1799999999998"/>
    <n v="15"/>
    <n v="12291.92"/>
    <n v="10158.67"/>
    <n v="2133.25"/>
    <n v="0.17354896549928733"/>
  </r>
  <r>
    <s v="ORD0814"/>
    <s v="2025-04-20"/>
    <x v="0"/>
    <s v="Q2"/>
    <x v="1"/>
    <x v="0"/>
    <s v="Customer 33"/>
    <x v="2"/>
    <x v="2"/>
    <n v="8"/>
    <n v="4939.1899999999996"/>
    <n v="15"/>
    <n v="33586.49"/>
    <n v="22714.01"/>
    <n v="10872.48"/>
    <n v="0.32371587504380483"/>
  </r>
  <r>
    <s v="ORD0991"/>
    <s v="2025-04-23"/>
    <x v="0"/>
    <s v="Q2"/>
    <x v="0"/>
    <x v="4"/>
    <s v="Customer 27"/>
    <x v="4"/>
    <x v="1"/>
    <n v="8"/>
    <n v="2572.46"/>
    <n v="15"/>
    <n v="17492.73"/>
    <n v="12699.99"/>
    <n v="4792.74"/>
    <n v="0.27398467820631772"/>
  </r>
  <r>
    <s v="ORD0050"/>
    <s v="2025-08-30"/>
    <x v="1"/>
    <s v="Q3"/>
    <x v="3"/>
    <x v="5"/>
    <s v="Customer 29"/>
    <x v="8"/>
    <x v="3"/>
    <n v="3"/>
    <n v="1477.32"/>
    <n v="15"/>
    <n v="3767.17"/>
    <n v="2191.7199999999998"/>
    <n v="1575.45"/>
    <n v="0.41820517789215778"/>
  </r>
  <r>
    <s v="ORD0142"/>
    <s v="2025-08-15"/>
    <x v="1"/>
    <s v="Q3"/>
    <x v="1"/>
    <x v="2"/>
    <s v="Customer 6"/>
    <x v="2"/>
    <x v="2"/>
    <n v="8"/>
    <n v="4315.16"/>
    <n v="15"/>
    <n v="29343.09"/>
    <n v="16683.57"/>
    <n v="12659.52"/>
    <n v="0.4314310456056264"/>
  </r>
  <r>
    <s v="ORD0175"/>
    <s v="2025-08-19"/>
    <x v="1"/>
    <s v="Q3"/>
    <x v="2"/>
    <x v="2"/>
    <s v="Customer 28"/>
    <x v="3"/>
    <x v="0"/>
    <n v="1"/>
    <n v="109.15"/>
    <n v="15"/>
    <n v="92.78"/>
    <n v="78.38"/>
    <n v="14.4"/>
    <n v="0.1552058633326148"/>
  </r>
  <r>
    <s v="ORD0216"/>
    <s v="2025-08-11"/>
    <x v="1"/>
    <s v="Q3"/>
    <x v="3"/>
    <x v="4"/>
    <s v="Customer 20"/>
    <x v="6"/>
    <x v="1"/>
    <n v="3"/>
    <n v="60797.73"/>
    <n v="15"/>
    <n v="155034.21"/>
    <n v="106513.62"/>
    <n v="48520.59"/>
    <n v="0.31296698967279546"/>
  </r>
  <r>
    <s v="ORD0294"/>
    <s v="2025-08-04"/>
    <x v="1"/>
    <s v="Q3"/>
    <x v="3"/>
    <x v="0"/>
    <s v="Customer 26"/>
    <x v="8"/>
    <x v="3"/>
    <n v="5"/>
    <n v="1533.57"/>
    <n v="15"/>
    <n v="6517.67"/>
    <n v="5156.9399999999996"/>
    <n v="1360.73"/>
    <n v="0.20877552867819327"/>
  </r>
  <r>
    <s v="ORD0315"/>
    <s v="2025-08-27"/>
    <x v="1"/>
    <s v="Q3"/>
    <x v="0"/>
    <x v="1"/>
    <s v="Customer 35"/>
    <x v="5"/>
    <x v="1"/>
    <n v="2"/>
    <n v="828.49"/>
    <n v="15"/>
    <n v="1408.43"/>
    <n v="1030.33"/>
    <n v="378.1"/>
    <n v="0.26845494628771044"/>
  </r>
  <r>
    <s v="ORD0394"/>
    <s v="2025-08-04"/>
    <x v="1"/>
    <s v="Q3"/>
    <x v="2"/>
    <x v="3"/>
    <s v="Customer 29"/>
    <x v="4"/>
    <x v="1"/>
    <n v="7"/>
    <n v="2502.02"/>
    <n v="15"/>
    <n v="14887.02"/>
    <n v="10373.540000000001"/>
    <n v="4513.4799999999996"/>
    <n v="0.30318223526266502"/>
  </r>
  <r>
    <s v="ORD0419"/>
    <s v="2025-08-24"/>
    <x v="1"/>
    <s v="Q3"/>
    <x v="2"/>
    <x v="0"/>
    <s v="Customer 28"/>
    <x v="3"/>
    <x v="0"/>
    <n v="6"/>
    <n v="120.68"/>
    <n v="15"/>
    <n v="615.47"/>
    <n v="488.24"/>
    <n v="127.23"/>
    <n v="0.20672006759062181"/>
  </r>
  <r>
    <s v="ORD0632"/>
    <s v="2025-08-02"/>
    <x v="1"/>
    <s v="Q3"/>
    <x v="2"/>
    <x v="0"/>
    <s v="Customer 42"/>
    <x v="5"/>
    <x v="1"/>
    <n v="3"/>
    <n v="891.68"/>
    <n v="15"/>
    <n v="2273.7800000000002"/>
    <n v="1434.91"/>
    <n v="838.87"/>
    <n v="0.36893191073894571"/>
  </r>
  <r>
    <s v="ORD0681"/>
    <s v="2025-08-30"/>
    <x v="1"/>
    <s v="Q3"/>
    <x v="0"/>
    <x v="3"/>
    <s v="Customer 11"/>
    <x v="9"/>
    <x v="3"/>
    <n v="5"/>
    <n v="532.04999999999995"/>
    <n v="15"/>
    <n v="2261.21"/>
    <n v="1657.02"/>
    <n v="604.19000000000005"/>
    <n v="0.26719765081527147"/>
  </r>
  <r>
    <s v="ORD0886"/>
    <s v="2025-08-18"/>
    <x v="1"/>
    <s v="Q3"/>
    <x v="0"/>
    <x v="0"/>
    <s v="Customer 27"/>
    <x v="3"/>
    <x v="0"/>
    <n v="4"/>
    <n v="114.57"/>
    <n v="15"/>
    <n v="389.54"/>
    <n v="216.39"/>
    <n v="173.15"/>
    <n v="0.44449863942085538"/>
  </r>
  <r>
    <s v="ORD0896"/>
    <s v="2025-08-03"/>
    <x v="1"/>
    <s v="Q3"/>
    <x v="1"/>
    <x v="5"/>
    <s v="Customer 13"/>
    <x v="2"/>
    <x v="2"/>
    <n v="2"/>
    <n v="4302.6499999999996"/>
    <n v="15"/>
    <n v="7314.5"/>
    <n v="4991.17"/>
    <n v="2323.33"/>
    <n v="0.31763346776949891"/>
  </r>
  <r>
    <s v="ORD0897"/>
    <s v="2025-08-01"/>
    <x v="1"/>
    <s v="Q3"/>
    <x v="1"/>
    <x v="4"/>
    <s v="Customer 42"/>
    <x v="4"/>
    <x v="1"/>
    <n v="7"/>
    <n v="2259.85"/>
    <n v="15"/>
    <n v="13446.11"/>
    <n v="8780.31"/>
    <n v="4665.8"/>
    <n v="0.34699998735693816"/>
  </r>
  <r>
    <s v="ORD0937"/>
    <s v="2025-08-13"/>
    <x v="1"/>
    <s v="Q3"/>
    <x v="1"/>
    <x v="1"/>
    <s v="Customer 18"/>
    <x v="4"/>
    <x v="1"/>
    <n v="6"/>
    <n v="2558.41"/>
    <n v="15"/>
    <n v="13047.89"/>
    <n v="9156.42"/>
    <n v="3891.47"/>
    <n v="0.29824515687977138"/>
  </r>
  <r>
    <s v="ORD0981"/>
    <s v="2025-08-16"/>
    <x v="1"/>
    <s v="Q3"/>
    <x v="1"/>
    <x v="0"/>
    <s v="Customer 33"/>
    <x v="4"/>
    <x v="1"/>
    <n v="5"/>
    <n v="2603.52"/>
    <n v="15"/>
    <n v="11064.96"/>
    <n v="7255.71"/>
    <n v="3809.25"/>
    <n v="0.34426242842269655"/>
  </r>
  <r>
    <s v="ORD0190"/>
    <s v="2025-12-17"/>
    <x v="2"/>
    <s v="Q4"/>
    <x v="1"/>
    <x v="4"/>
    <s v="Customer 24"/>
    <x v="3"/>
    <x v="0"/>
    <n v="3"/>
    <n v="121.93"/>
    <n v="15"/>
    <n v="310.92"/>
    <n v="180.21"/>
    <n v="130.71"/>
    <n v="0.42039752991123119"/>
  </r>
  <r>
    <s v="ORD0212"/>
    <s v="2025-12-29"/>
    <x v="2"/>
    <s v="Q4"/>
    <x v="3"/>
    <x v="3"/>
    <s v="Customer 13"/>
    <x v="0"/>
    <x v="0"/>
    <n v="4"/>
    <n v="32.03"/>
    <n v="15"/>
    <n v="108.9"/>
    <n v="91.3"/>
    <n v="17.600000000000001"/>
    <n v="0.16161616161616163"/>
  </r>
  <r>
    <s v="ORD0228"/>
    <s v="2025-12-17"/>
    <x v="2"/>
    <s v="Q4"/>
    <x v="1"/>
    <x v="0"/>
    <s v="Customer 15"/>
    <x v="9"/>
    <x v="3"/>
    <n v="7"/>
    <n v="502.49"/>
    <n v="15"/>
    <n v="2989.82"/>
    <n v="2358.4"/>
    <n v="631.41999999999996"/>
    <n v="0.21118997130262021"/>
  </r>
  <r>
    <s v="ORD0267"/>
    <s v="2025-12-23"/>
    <x v="2"/>
    <s v="Q4"/>
    <x v="0"/>
    <x v="4"/>
    <s v="Customer 3"/>
    <x v="8"/>
    <x v="3"/>
    <n v="5"/>
    <n v="1538.82"/>
    <n v="15"/>
    <n v="6539.98"/>
    <n v="4784.84"/>
    <n v="1755.14"/>
    <n v="0.26837085128700705"/>
  </r>
  <r>
    <s v="ORD0298"/>
    <s v="2025-12-16"/>
    <x v="2"/>
    <s v="Q4"/>
    <x v="1"/>
    <x v="5"/>
    <s v="Customer 2"/>
    <x v="3"/>
    <x v="0"/>
    <n v="3"/>
    <n v="111.34"/>
    <n v="15"/>
    <n v="283.92"/>
    <n v="224.84"/>
    <n v="59.08"/>
    <n v="0.20808678500986191"/>
  </r>
  <r>
    <s v="ORD0421"/>
    <s v="2025-12-12"/>
    <x v="2"/>
    <s v="Q4"/>
    <x v="2"/>
    <x v="5"/>
    <s v="Customer 3"/>
    <x v="8"/>
    <x v="3"/>
    <n v="7"/>
    <n v="1637.78"/>
    <n v="15"/>
    <n v="9744.7900000000009"/>
    <n v="6344.98"/>
    <n v="3399.81"/>
    <n v="0.34888489131115186"/>
  </r>
  <r>
    <s v="ORD0461"/>
    <s v="2025-12-30"/>
    <x v="2"/>
    <s v="Q4"/>
    <x v="1"/>
    <x v="5"/>
    <s v="Customer 18"/>
    <x v="4"/>
    <x v="1"/>
    <n v="8"/>
    <n v="2609.85"/>
    <n v="15"/>
    <n v="17746.98"/>
    <n v="12943.95"/>
    <n v="4803.03"/>
    <n v="0.27063928623348871"/>
  </r>
  <r>
    <s v="ORD0465"/>
    <s v="2025-12-04"/>
    <x v="2"/>
    <s v="Q4"/>
    <x v="0"/>
    <x v="0"/>
    <s v="Customer 35"/>
    <x v="6"/>
    <x v="1"/>
    <n v="1"/>
    <n v="54980.26"/>
    <n v="15"/>
    <n v="46733.22"/>
    <n v="27383.29"/>
    <n v="19349.93"/>
    <n v="0.41405086146428599"/>
  </r>
  <r>
    <s v="ORD0540"/>
    <s v="2025-12-18"/>
    <x v="2"/>
    <s v="Q4"/>
    <x v="3"/>
    <x v="1"/>
    <s v="Customer 38"/>
    <x v="8"/>
    <x v="3"/>
    <n v="2"/>
    <n v="1641.2"/>
    <n v="15"/>
    <n v="2790.04"/>
    <n v="1562.62"/>
    <n v="1227.42"/>
    <n v="0.43992917664262882"/>
  </r>
  <r>
    <s v="ORD0556"/>
    <s v="2025-12-25"/>
    <x v="2"/>
    <s v="Q4"/>
    <x v="0"/>
    <x v="3"/>
    <s v="Customer 38"/>
    <x v="7"/>
    <x v="2"/>
    <n v="7"/>
    <n v="8473.24"/>
    <n v="15"/>
    <n v="50415.78"/>
    <n v="37386.35"/>
    <n v="13029.43"/>
    <n v="0.25843952032478723"/>
  </r>
  <r>
    <s v="ORD0562"/>
    <s v="2025-12-05"/>
    <x v="2"/>
    <s v="Q4"/>
    <x v="0"/>
    <x v="4"/>
    <s v="Customer 27"/>
    <x v="2"/>
    <x v="2"/>
    <n v="6"/>
    <n v="4324.2"/>
    <n v="15"/>
    <n v="22053.42"/>
    <n v="13234.94"/>
    <n v="8818.48"/>
    <n v="0.39986904525465894"/>
  </r>
  <r>
    <s v="ORD0595"/>
    <s v="2025-12-13"/>
    <x v="2"/>
    <s v="Q4"/>
    <x v="3"/>
    <x v="5"/>
    <s v="Customer 20"/>
    <x v="7"/>
    <x v="2"/>
    <n v="1"/>
    <n v="8348.83"/>
    <n v="15"/>
    <n v="7096.51"/>
    <n v="5458.07"/>
    <n v="1638.44"/>
    <n v="0.23087968593012623"/>
  </r>
  <r>
    <s v="ORD0683"/>
    <s v="2025-12-19"/>
    <x v="2"/>
    <s v="Q4"/>
    <x v="2"/>
    <x v="3"/>
    <s v="Customer 6"/>
    <x v="2"/>
    <x v="2"/>
    <n v="2"/>
    <n v="4123.16"/>
    <n v="15"/>
    <n v="7009.37"/>
    <n v="5118.37"/>
    <n v="1891"/>
    <n v="0.26978173502040842"/>
  </r>
  <r>
    <s v="ORD0686"/>
    <s v="2025-12-03"/>
    <x v="2"/>
    <s v="Q4"/>
    <x v="3"/>
    <x v="2"/>
    <s v="Customer 44"/>
    <x v="3"/>
    <x v="0"/>
    <n v="2"/>
    <n v="120.82"/>
    <n v="15"/>
    <n v="205.39"/>
    <n v="158.66"/>
    <n v="46.73"/>
    <n v="0.22751837966794877"/>
  </r>
  <r>
    <s v="ORD0693"/>
    <s v="2025-12-09"/>
    <x v="2"/>
    <s v="Q4"/>
    <x v="2"/>
    <x v="5"/>
    <s v="Customer 7"/>
    <x v="8"/>
    <x v="3"/>
    <n v="7"/>
    <n v="1402.9"/>
    <n v="15"/>
    <n v="8347.26"/>
    <n v="4758.54"/>
    <n v="3588.72"/>
    <n v="0.42992790448602292"/>
  </r>
  <r>
    <s v="ORD0719"/>
    <s v="2025-12-13"/>
    <x v="2"/>
    <s v="Q4"/>
    <x v="1"/>
    <x v="1"/>
    <s v="Customer 44"/>
    <x v="3"/>
    <x v="0"/>
    <n v="5"/>
    <n v="131.47"/>
    <n v="15"/>
    <n v="558.75"/>
    <n v="450.25"/>
    <n v="108.5"/>
    <n v="0.19418344519015659"/>
  </r>
  <r>
    <s v="ORD0796"/>
    <s v="2025-12-05"/>
    <x v="2"/>
    <s v="Q4"/>
    <x v="1"/>
    <x v="2"/>
    <s v="Customer 15"/>
    <x v="1"/>
    <x v="1"/>
    <n v="8"/>
    <n v="26365.360000000001"/>
    <n v="15"/>
    <n v="179284.45"/>
    <n v="121316.03"/>
    <n v="57968.42"/>
    <n v="0.32333211274039658"/>
  </r>
  <r>
    <s v="ORD0839"/>
    <s v="2025-12-02"/>
    <x v="2"/>
    <s v="Q4"/>
    <x v="0"/>
    <x v="2"/>
    <s v="Customer 8"/>
    <x v="1"/>
    <x v="1"/>
    <n v="1"/>
    <n v="23650.27"/>
    <n v="15"/>
    <n v="20102.73"/>
    <n v="12620.18"/>
    <n v="7482.55"/>
    <n v="0.3722156144961406"/>
  </r>
  <r>
    <s v="ORD0907"/>
    <s v="2025-12-03"/>
    <x v="2"/>
    <s v="Q4"/>
    <x v="3"/>
    <x v="1"/>
    <s v="Customer 23"/>
    <x v="0"/>
    <x v="0"/>
    <n v="8"/>
    <n v="29.31"/>
    <n v="15"/>
    <n v="199.31"/>
    <n v="145.56"/>
    <n v="53.75"/>
    <n v="0.26968039737092969"/>
  </r>
  <r>
    <s v="ORD0914"/>
    <s v="2025-12-23"/>
    <x v="2"/>
    <s v="Q4"/>
    <x v="0"/>
    <x v="3"/>
    <s v="Customer 17"/>
    <x v="1"/>
    <x v="1"/>
    <n v="7"/>
    <n v="25737.86"/>
    <n v="15"/>
    <n v="153140.26999999999"/>
    <n v="96741.17"/>
    <n v="56399.1"/>
    <n v="0.36828392688611561"/>
  </r>
  <r>
    <s v="ORD0920"/>
    <s v="2025-12-30"/>
    <x v="2"/>
    <s v="Q4"/>
    <x v="3"/>
    <x v="4"/>
    <s v="Customer 32"/>
    <x v="0"/>
    <x v="0"/>
    <n v="6"/>
    <n v="28.8"/>
    <n v="15"/>
    <n v="146.88"/>
    <n v="112.92"/>
    <n v="33.96"/>
    <n v="0.2312091503267974"/>
  </r>
  <r>
    <s v="ORD0944"/>
    <s v="2025-12-08"/>
    <x v="2"/>
    <s v="Q4"/>
    <x v="3"/>
    <x v="5"/>
    <s v="Customer 35"/>
    <x v="3"/>
    <x v="0"/>
    <n v="4"/>
    <n v="108.25"/>
    <n v="15"/>
    <n v="368.05"/>
    <n v="257.33"/>
    <n v="110.72"/>
    <n v="0.30082869175383781"/>
  </r>
  <r>
    <s v="ORD0958"/>
    <s v="2025-12-31"/>
    <x v="2"/>
    <s v="Q4"/>
    <x v="1"/>
    <x v="4"/>
    <s v="Customer 17"/>
    <x v="8"/>
    <x v="3"/>
    <n v="3"/>
    <n v="1401.94"/>
    <n v="15"/>
    <n v="3574.95"/>
    <n v="2116.2600000000002"/>
    <n v="1458.69"/>
    <n v="0.40803088155079098"/>
  </r>
  <r>
    <s v="ORD0155"/>
    <s v="2025-02-11"/>
    <x v="3"/>
    <s v="Q1"/>
    <x v="3"/>
    <x v="3"/>
    <s v="Customer 12"/>
    <x v="5"/>
    <x v="1"/>
    <n v="6"/>
    <n v="949.22"/>
    <n v="15"/>
    <n v="4841.0200000000004"/>
    <n v="2868.26"/>
    <n v="1972.76"/>
    <n v="0.40750916129245485"/>
  </r>
  <r>
    <s v="ORD0204"/>
    <s v="2025-02-01"/>
    <x v="3"/>
    <s v="Q1"/>
    <x v="3"/>
    <x v="4"/>
    <s v="Customer 49"/>
    <x v="5"/>
    <x v="1"/>
    <n v="7"/>
    <n v="915.74"/>
    <n v="15"/>
    <n v="5448.65"/>
    <n v="4372.33"/>
    <n v="1076.32"/>
    <n v="0.19753883989612106"/>
  </r>
  <r>
    <s v="ORD0264"/>
    <s v="2025-02-24"/>
    <x v="3"/>
    <s v="Q1"/>
    <x v="0"/>
    <x v="3"/>
    <s v="Customer 26"/>
    <x v="6"/>
    <x v="1"/>
    <n v="4"/>
    <n v="58529.81"/>
    <n v="15"/>
    <n v="199001.35"/>
    <n v="157311.43"/>
    <n v="41689.919999999998"/>
    <n v="0.20949566422539342"/>
  </r>
  <r>
    <s v="ORD0403"/>
    <s v="2025-02-16"/>
    <x v="3"/>
    <s v="Q1"/>
    <x v="2"/>
    <x v="2"/>
    <s v="Customer 20"/>
    <x v="3"/>
    <x v="0"/>
    <n v="6"/>
    <n v="116.11"/>
    <n v="15"/>
    <n v="592.16"/>
    <n v="496.71"/>
    <n v="95.45"/>
    <n v="0.16118954336665767"/>
  </r>
  <r>
    <s v="ORD0439"/>
    <s v="2025-02-02"/>
    <x v="3"/>
    <s v="Q1"/>
    <x v="2"/>
    <x v="5"/>
    <s v="Customer 10"/>
    <x v="9"/>
    <x v="3"/>
    <n v="8"/>
    <n v="518.4"/>
    <n v="15"/>
    <n v="3525.12"/>
    <n v="1969.92"/>
    <n v="1555.2"/>
    <n v="0.44117647058823534"/>
  </r>
  <r>
    <s v="ORD0627"/>
    <s v="2025-02-27"/>
    <x v="3"/>
    <s v="Q1"/>
    <x v="3"/>
    <x v="4"/>
    <s v="Customer 11"/>
    <x v="8"/>
    <x v="3"/>
    <n v="7"/>
    <n v="1474.79"/>
    <n v="15"/>
    <n v="8775"/>
    <n v="5505.08"/>
    <n v="3269.92"/>
    <n v="0.37264045584045585"/>
  </r>
  <r>
    <s v="ORD0636"/>
    <s v="2025-02-13"/>
    <x v="3"/>
    <s v="Q1"/>
    <x v="1"/>
    <x v="3"/>
    <s v="Customer 7"/>
    <x v="9"/>
    <x v="3"/>
    <n v="4"/>
    <n v="502.29"/>
    <n v="15"/>
    <n v="1707.79"/>
    <n v="1161.06"/>
    <n v="546.73"/>
    <n v="0.32013889295522285"/>
  </r>
  <r>
    <s v="ORD0684"/>
    <s v="2025-02-04"/>
    <x v="3"/>
    <s v="Q1"/>
    <x v="3"/>
    <x v="2"/>
    <s v="Customer 25"/>
    <x v="5"/>
    <x v="1"/>
    <n v="6"/>
    <n v="864.1"/>
    <n v="15"/>
    <n v="4406.91"/>
    <n v="2751.64"/>
    <n v="1655.27"/>
    <n v="0.37560785221390952"/>
  </r>
  <r>
    <s v="ORD0685"/>
    <s v="2025-02-17"/>
    <x v="3"/>
    <s v="Q1"/>
    <x v="0"/>
    <x v="3"/>
    <s v="Customer 2"/>
    <x v="6"/>
    <x v="1"/>
    <n v="6"/>
    <n v="57119.15"/>
    <n v="15"/>
    <n v="291307.67"/>
    <n v="242645.06"/>
    <n v="48662.61"/>
    <n v="0.16704884564144845"/>
  </r>
  <r>
    <s v="ORD0765"/>
    <s v="2025-02-22"/>
    <x v="3"/>
    <s v="Q1"/>
    <x v="3"/>
    <x v="0"/>
    <s v="Customer 9"/>
    <x v="9"/>
    <x v="3"/>
    <n v="4"/>
    <n v="508.23"/>
    <n v="15"/>
    <n v="1727.98"/>
    <n v="983.53"/>
    <n v="744.45"/>
    <n v="0.43082095857590946"/>
  </r>
  <r>
    <s v="ORD0816"/>
    <s v="2025-02-10"/>
    <x v="3"/>
    <s v="Q1"/>
    <x v="2"/>
    <x v="1"/>
    <s v="Customer 13"/>
    <x v="3"/>
    <x v="0"/>
    <n v="6"/>
    <n v="108.11"/>
    <n v="15"/>
    <n v="551.36"/>
    <n v="383.1"/>
    <n v="168.26"/>
    <n v="0.30517266395821241"/>
  </r>
  <r>
    <s v="ORD0871"/>
    <s v="2025-02-28"/>
    <x v="3"/>
    <s v="Q1"/>
    <x v="3"/>
    <x v="3"/>
    <s v="Customer 28"/>
    <x v="0"/>
    <x v="0"/>
    <n v="3"/>
    <n v="28.66"/>
    <n v="15"/>
    <n v="73.08"/>
    <n v="44.58"/>
    <n v="28.5"/>
    <n v="0.38998357963875208"/>
  </r>
  <r>
    <s v="ORD0100"/>
    <s v="2025-01-18"/>
    <x v="4"/>
    <s v="Q1"/>
    <x v="1"/>
    <x v="0"/>
    <s v="Customer 30"/>
    <x v="8"/>
    <x v="3"/>
    <n v="1"/>
    <n v="1592.78"/>
    <n v="15"/>
    <n v="1353.86"/>
    <n v="1064.3599999999999"/>
    <n v="289.5"/>
    <n v="0.2138330403439056"/>
  </r>
  <r>
    <s v="ORD0144"/>
    <s v="2025-01-17"/>
    <x v="4"/>
    <s v="Q1"/>
    <x v="1"/>
    <x v="0"/>
    <s v="Customer 15"/>
    <x v="3"/>
    <x v="0"/>
    <n v="1"/>
    <n v="131.88"/>
    <n v="15"/>
    <n v="112.1"/>
    <n v="74.510000000000005"/>
    <n v="37.590000000000003"/>
    <n v="0.33532560214094564"/>
  </r>
  <r>
    <s v="ORD0260"/>
    <s v="2025-01-17"/>
    <x v="4"/>
    <s v="Q1"/>
    <x v="2"/>
    <x v="2"/>
    <s v="Customer 50"/>
    <x v="3"/>
    <x v="0"/>
    <n v="5"/>
    <n v="130.36000000000001"/>
    <n v="15"/>
    <n v="554.03"/>
    <n v="431.92"/>
    <n v="122.11"/>
    <n v="0.22040322726206163"/>
  </r>
  <r>
    <s v="ORD0277"/>
    <s v="2025-01-26"/>
    <x v="4"/>
    <s v="Q1"/>
    <x v="3"/>
    <x v="0"/>
    <s v="Customer 43"/>
    <x v="6"/>
    <x v="1"/>
    <n v="8"/>
    <n v="60317.48"/>
    <n v="15"/>
    <n v="410158.86"/>
    <n v="300628.03999999998"/>
    <n v="109530.82"/>
    <n v="0.26704487134570254"/>
  </r>
  <r>
    <s v="ORD0321"/>
    <s v="2025-01-22"/>
    <x v="4"/>
    <s v="Q1"/>
    <x v="1"/>
    <x v="1"/>
    <s v="Customer 45"/>
    <x v="2"/>
    <x v="2"/>
    <n v="1"/>
    <n v="4152.83"/>
    <n v="15"/>
    <n v="3529.91"/>
    <n v="2528.12"/>
    <n v="1001.79"/>
    <n v="0.283800436838333"/>
  </r>
  <r>
    <s v="ORD0359"/>
    <s v="2025-01-12"/>
    <x v="4"/>
    <s v="Q1"/>
    <x v="2"/>
    <x v="1"/>
    <s v="Customer 41"/>
    <x v="7"/>
    <x v="2"/>
    <n v="4"/>
    <n v="7792.77"/>
    <n v="15"/>
    <n v="26495.42"/>
    <n v="19035.830000000002"/>
    <n v="7459.59"/>
    <n v="0.28154262132851643"/>
  </r>
  <r>
    <s v="ORD0364"/>
    <s v="2025-01-19"/>
    <x v="4"/>
    <s v="Q1"/>
    <x v="1"/>
    <x v="0"/>
    <s v="Customer 33"/>
    <x v="4"/>
    <x v="1"/>
    <n v="5"/>
    <n v="2409.12"/>
    <n v="15"/>
    <n v="10238.76"/>
    <n v="6793.71"/>
    <n v="3445.05"/>
    <n v="0.33647140864714087"/>
  </r>
  <r>
    <s v="ORD0384"/>
    <s v="2025-01-21"/>
    <x v="4"/>
    <s v="Q1"/>
    <x v="0"/>
    <x v="0"/>
    <s v="Customer 45"/>
    <x v="1"/>
    <x v="1"/>
    <n v="2"/>
    <n v="23241.42"/>
    <n v="15"/>
    <n v="39510.410000000003"/>
    <n v="25473.279999999999"/>
    <n v="14037.13"/>
    <n v="0.35527674858347452"/>
  </r>
  <r>
    <s v="ORD0530"/>
    <s v="2025-01-31"/>
    <x v="4"/>
    <s v="Q1"/>
    <x v="2"/>
    <x v="2"/>
    <s v="Customer 21"/>
    <x v="9"/>
    <x v="3"/>
    <n v="3"/>
    <n v="464.64"/>
    <n v="15"/>
    <n v="1184.83"/>
    <n v="845.2"/>
    <n v="339.63"/>
    <n v="0.28664871753753707"/>
  </r>
  <r>
    <s v="ORD0574"/>
    <s v="2025-01-15"/>
    <x v="4"/>
    <s v="Q1"/>
    <x v="1"/>
    <x v="0"/>
    <s v="Customer 3"/>
    <x v="5"/>
    <x v="1"/>
    <n v="3"/>
    <n v="938.49"/>
    <n v="15"/>
    <n v="2393.15"/>
    <n v="1469.84"/>
    <n v="923.31"/>
    <n v="0.38581367653511062"/>
  </r>
  <r>
    <s v="ORD0588"/>
    <s v="2025-01-14"/>
    <x v="4"/>
    <s v="Q1"/>
    <x v="0"/>
    <x v="0"/>
    <s v="Customer 25"/>
    <x v="8"/>
    <x v="3"/>
    <n v="5"/>
    <n v="1447.67"/>
    <n v="15"/>
    <n v="6152.6"/>
    <n v="4762.47"/>
    <n v="1390.13"/>
    <n v="0.22594187823034165"/>
  </r>
  <r>
    <s v="ORD0846"/>
    <s v="2025-01-31"/>
    <x v="4"/>
    <s v="Q1"/>
    <x v="0"/>
    <x v="5"/>
    <s v="Customer 28"/>
    <x v="9"/>
    <x v="3"/>
    <n v="2"/>
    <n v="544.36"/>
    <n v="15"/>
    <n v="925.41"/>
    <n v="709.7"/>
    <n v="215.71"/>
    <n v="0.23309668147091561"/>
  </r>
  <r>
    <s v="ORD0887"/>
    <s v="2025-01-30"/>
    <x v="4"/>
    <s v="Q1"/>
    <x v="2"/>
    <x v="5"/>
    <s v="Customer 36"/>
    <x v="0"/>
    <x v="0"/>
    <n v="5"/>
    <n v="27.65"/>
    <n v="15"/>
    <n v="117.51"/>
    <n v="73.209999999999994"/>
    <n v="44.3"/>
    <n v="0.37698919240915663"/>
  </r>
  <r>
    <s v="ORD0948"/>
    <s v="2025-01-13"/>
    <x v="4"/>
    <s v="Q1"/>
    <x v="1"/>
    <x v="1"/>
    <s v="Customer 26"/>
    <x v="7"/>
    <x v="2"/>
    <n v="5"/>
    <n v="8510.65"/>
    <n v="15"/>
    <n v="36170.26"/>
    <n v="25269.73"/>
    <n v="10900.53"/>
    <n v="0.30136720056753807"/>
  </r>
  <r>
    <s v="ORD0957"/>
    <s v="2025-01-05"/>
    <x v="4"/>
    <s v="Q1"/>
    <x v="1"/>
    <x v="0"/>
    <s v="Customer 20"/>
    <x v="7"/>
    <x v="2"/>
    <n v="4"/>
    <n v="7467.45"/>
    <n v="15"/>
    <n v="25389.33"/>
    <n v="16418.939999999999"/>
    <n v="8970.39"/>
    <n v="0.35331338006950158"/>
  </r>
  <r>
    <s v="ORD0976"/>
    <s v="2025-01-05"/>
    <x v="4"/>
    <s v="Q1"/>
    <x v="1"/>
    <x v="0"/>
    <s v="Customer 30"/>
    <x v="9"/>
    <x v="3"/>
    <n v="1"/>
    <n v="476.23"/>
    <n v="15"/>
    <n v="404.8"/>
    <n v="225.71"/>
    <n v="179.09"/>
    <n v="0.44241600790513835"/>
  </r>
  <r>
    <s v="ORD0995"/>
    <s v="2025-01-13"/>
    <x v="4"/>
    <s v="Q1"/>
    <x v="0"/>
    <x v="2"/>
    <s v="Customer 34"/>
    <x v="3"/>
    <x v="0"/>
    <n v="4"/>
    <n v="129.52000000000001"/>
    <n v="15"/>
    <n v="440.37"/>
    <n v="326.77"/>
    <n v="113.6"/>
    <n v="0.25796489315802618"/>
  </r>
  <r>
    <s v="ORD0023"/>
    <s v="2025-07-18"/>
    <x v="5"/>
    <s v="Q3"/>
    <x v="1"/>
    <x v="3"/>
    <s v="Customer 44"/>
    <x v="2"/>
    <x v="2"/>
    <n v="6"/>
    <n v="4461.7700000000004"/>
    <n v="15"/>
    <n v="22755.03"/>
    <n v="19310.02"/>
    <n v="3445.01"/>
    <n v="0.15139553760201593"/>
  </r>
  <r>
    <s v="ORD0078"/>
    <s v="2025-07-28"/>
    <x v="5"/>
    <s v="Q3"/>
    <x v="3"/>
    <x v="4"/>
    <s v="Customer 25"/>
    <x v="1"/>
    <x v="1"/>
    <n v="4"/>
    <n v="24715.68"/>
    <n v="15"/>
    <n v="84033.31"/>
    <n v="47735.46"/>
    <n v="36297.85"/>
    <n v="0.43194597475691482"/>
  </r>
  <r>
    <s v="ORD0112"/>
    <s v="2025-07-30"/>
    <x v="5"/>
    <s v="Q3"/>
    <x v="1"/>
    <x v="3"/>
    <s v="Customer 20"/>
    <x v="5"/>
    <x v="1"/>
    <n v="1"/>
    <n v="858.41"/>
    <n v="15"/>
    <n v="729.65"/>
    <n v="456.29"/>
    <n v="273.36"/>
    <n v="0.37464537792092101"/>
  </r>
  <r>
    <s v="ORD0122"/>
    <s v="2025-07-07"/>
    <x v="5"/>
    <s v="Q3"/>
    <x v="1"/>
    <x v="4"/>
    <s v="Customer 3"/>
    <x v="9"/>
    <x v="3"/>
    <n v="5"/>
    <n v="455.03"/>
    <n v="15"/>
    <n v="1933.88"/>
    <n v="1470.42"/>
    <n v="463.46"/>
    <n v="0.23965292572445029"/>
  </r>
  <r>
    <s v="ORD0265"/>
    <s v="2025-07-22"/>
    <x v="5"/>
    <s v="Q3"/>
    <x v="0"/>
    <x v="2"/>
    <s v="Customer 45"/>
    <x v="9"/>
    <x v="3"/>
    <n v="5"/>
    <n v="545.52"/>
    <n v="15"/>
    <n v="2318.46"/>
    <n v="1546.2"/>
    <n v="772.26"/>
    <n v="0.33309179369063946"/>
  </r>
  <r>
    <s v="ORD0307"/>
    <s v="2025-07-04"/>
    <x v="5"/>
    <s v="Q3"/>
    <x v="2"/>
    <x v="5"/>
    <s v="Customer 40"/>
    <x v="2"/>
    <x v="2"/>
    <n v="6"/>
    <n v="4087.54"/>
    <n v="15"/>
    <n v="20846.45"/>
    <n v="16640.91"/>
    <n v="4205.54"/>
    <n v="0.20173890518529533"/>
  </r>
  <r>
    <s v="ORD0320"/>
    <s v="2025-07-25"/>
    <x v="5"/>
    <s v="Q3"/>
    <x v="0"/>
    <x v="4"/>
    <s v="Customer 20"/>
    <x v="1"/>
    <x v="1"/>
    <n v="5"/>
    <n v="23952.21"/>
    <n v="15"/>
    <n v="101796.89"/>
    <n v="71500.14"/>
    <n v="30296.75"/>
    <n v="0.2976196031136118"/>
  </r>
  <r>
    <s v="ORD0444"/>
    <s v="2025-07-17"/>
    <x v="5"/>
    <s v="Q3"/>
    <x v="2"/>
    <x v="1"/>
    <s v="Customer 37"/>
    <x v="1"/>
    <x v="1"/>
    <n v="2"/>
    <n v="26897.439999999999"/>
    <n v="15"/>
    <n v="45725.65"/>
    <n v="32749.3"/>
    <n v="12976.35"/>
    <n v="0.28378710854848427"/>
  </r>
  <r>
    <s v="ORD0446"/>
    <s v="2025-07-29"/>
    <x v="5"/>
    <s v="Q3"/>
    <x v="3"/>
    <x v="5"/>
    <s v="Customer 17"/>
    <x v="6"/>
    <x v="1"/>
    <n v="7"/>
    <n v="62020.73"/>
    <n v="15"/>
    <n v="369023.34"/>
    <n v="293470.53000000003"/>
    <n v="75552.81"/>
    <n v="0.20473721255679922"/>
  </r>
  <r>
    <s v="ORD0516"/>
    <s v="2025-07-10"/>
    <x v="5"/>
    <s v="Q3"/>
    <x v="2"/>
    <x v="0"/>
    <s v="Customer 10"/>
    <x v="1"/>
    <x v="1"/>
    <n v="1"/>
    <n v="25761.29"/>
    <n v="15"/>
    <n v="21897.1"/>
    <n v="12257.12"/>
    <n v="9639.98"/>
    <n v="0.44024003178503091"/>
  </r>
  <r>
    <s v="ORD0523"/>
    <s v="2025-07-12"/>
    <x v="5"/>
    <s v="Q3"/>
    <x v="3"/>
    <x v="4"/>
    <s v="Customer 40"/>
    <x v="2"/>
    <x v="2"/>
    <n v="8"/>
    <n v="4484.45"/>
    <n v="15"/>
    <n v="30494.26"/>
    <n v="20945.04"/>
    <n v="9549.2199999999993"/>
    <n v="0.31314811377616641"/>
  </r>
  <r>
    <s v="ORD0698"/>
    <s v="2025-07-06"/>
    <x v="5"/>
    <s v="Q3"/>
    <x v="2"/>
    <x v="2"/>
    <s v="Customer 12"/>
    <x v="1"/>
    <x v="1"/>
    <n v="4"/>
    <n v="25602.28"/>
    <n v="15"/>
    <n v="87047.75"/>
    <n v="65523.4"/>
    <n v="21524.35"/>
    <n v="0.24727060722419589"/>
  </r>
  <r>
    <s v="ORD0866"/>
    <s v="2025-07-13"/>
    <x v="5"/>
    <s v="Q3"/>
    <x v="3"/>
    <x v="4"/>
    <s v="Customer 17"/>
    <x v="4"/>
    <x v="1"/>
    <n v="7"/>
    <n v="2719.06"/>
    <n v="15"/>
    <n v="16178.41"/>
    <n v="12666.1"/>
    <n v="3512.31"/>
    <n v="0.21709859003449658"/>
  </r>
  <r>
    <s v="ORD0875"/>
    <s v="2025-07-02"/>
    <x v="5"/>
    <s v="Q3"/>
    <x v="1"/>
    <x v="5"/>
    <s v="Customer 37"/>
    <x v="5"/>
    <x v="1"/>
    <n v="7"/>
    <n v="958.9"/>
    <n v="15"/>
    <n v="5705.45"/>
    <n v="4183.25"/>
    <n v="1522.2"/>
    <n v="0.26679753568955999"/>
  </r>
  <r>
    <s v="ORD0890"/>
    <s v="2025-07-26"/>
    <x v="5"/>
    <s v="Q3"/>
    <x v="0"/>
    <x v="2"/>
    <s v="Customer 5"/>
    <x v="4"/>
    <x v="1"/>
    <n v="3"/>
    <n v="2725.95"/>
    <n v="15"/>
    <n v="6951.17"/>
    <n v="3849.86"/>
    <n v="3101.31"/>
    <n v="0.44615654630803159"/>
  </r>
  <r>
    <s v="ORD0102"/>
    <s v="2025-06-23"/>
    <x v="6"/>
    <s v="Q2"/>
    <x v="2"/>
    <x v="5"/>
    <s v="Customer 25"/>
    <x v="8"/>
    <x v="3"/>
    <n v="8"/>
    <n v="1551.66"/>
    <n v="15"/>
    <n v="10551.29"/>
    <n v="7904.18"/>
    <n v="2647.11"/>
    <n v="0.25088022412425398"/>
  </r>
  <r>
    <s v="ORD0137"/>
    <s v="2025-06-15"/>
    <x v="6"/>
    <s v="Q2"/>
    <x v="2"/>
    <x v="1"/>
    <s v="Customer 22"/>
    <x v="9"/>
    <x v="3"/>
    <n v="1"/>
    <n v="487.29"/>
    <n v="15"/>
    <n v="414.2"/>
    <n v="344.55"/>
    <n v="69.650000000000006"/>
    <n v="0.16815548044422987"/>
  </r>
  <r>
    <s v="ORD0139"/>
    <s v="2025-06-20"/>
    <x v="6"/>
    <s v="Q2"/>
    <x v="2"/>
    <x v="0"/>
    <s v="Customer 33"/>
    <x v="5"/>
    <x v="1"/>
    <n v="1"/>
    <n v="830.37"/>
    <n v="15"/>
    <n v="705.81"/>
    <n v="570.66999999999996"/>
    <n v="135.13999999999999"/>
    <n v="0.19146795879911024"/>
  </r>
  <r>
    <s v="ORD0183"/>
    <s v="2025-06-11"/>
    <x v="6"/>
    <s v="Q2"/>
    <x v="3"/>
    <x v="3"/>
    <s v="Customer 31"/>
    <x v="5"/>
    <x v="1"/>
    <n v="6"/>
    <n v="944.88"/>
    <n v="15"/>
    <n v="4818.8900000000003"/>
    <n v="3011.56"/>
    <n v="1807.33"/>
    <n v="0.37505110097968614"/>
  </r>
  <r>
    <s v="ORD0231"/>
    <s v="2025-06-09"/>
    <x v="6"/>
    <s v="Q2"/>
    <x v="2"/>
    <x v="0"/>
    <s v="Customer 23"/>
    <x v="6"/>
    <x v="1"/>
    <n v="4"/>
    <n v="60976.21"/>
    <n v="15"/>
    <n v="207319.11"/>
    <n v="138028.68"/>
    <n v="69290.429999999993"/>
    <n v="0.33422114343438963"/>
  </r>
  <r>
    <s v="ORD0259"/>
    <s v="2025-06-16"/>
    <x v="6"/>
    <s v="Q2"/>
    <x v="1"/>
    <x v="2"/>
    <s v="Customer 38"/>
    <x v="3"/>
    <x v="0"/>
    <n v="2"/>
    <n v="108.57"/>
    <n v="15"/>
    <n v="184.57"/>
    <n v="124.03"/>
    <n v="60.54"/>
    <n v="0.328005634718535"/>
  </r>
  <r>
    <s v="ORD0375"/>
    <s v="2025-06-02"/>
    <x v="6"/>
    <s v="Q2"/>
    <x v="3"/>
    <x v="3"/>
    <s v="Customer 32"/>
    <x v="3"/>
    <x v="0"/>
    <n v="5"/>
    <n v="119.03"/>
    <n v="15"/>
    <n v="505.88"/>
    <n v="312.42"/>
    <n v="193.46"/>
    <n v="0.38242270894283231"/>
  </r>
  <r>
    <s v="ORD0415"/>
    <s v="2025-06-01"/>
    <x v="6"/>
    <s v="Q2"/>
    <x v="2"/>
    <x v="3"/>
    <s v="Customer 17"/>
    <x v="0"/>
    <x v="0"/>
    <n v="5"/>
    <n v="32.659999999999997"/>
    <n v="15"/>
    <n v="138.80000000000001"/>
    <n v="112.13"/>
    <n v="26.67"/>
    <n v="0.19214697406340056"/>
  </r>
  <r>
    <s v="ORD0466"/>
    <s v="2025-06-15"/>
    <x v="6"/>
    <s v="Q2"/>
    <x v="0"/>
    <x v="3"/>
    <s v="Customer 48"/>
    <x v="4"/>
    <x v="1"/>
    <n v="2"/>
    <n v="2340.3000000000002"/>
    <n v="15"/>
    <n v="3978.51"/>
    <n v="3170.62"/>
    <n v="807.89"/>
    <n v="0.2030634584304174"/>
  </r>
  <r>
    <s v="ORD0478"/>
    <s v="2025-06-05"/>
    <x v="6"/>
    <s v="Q2"/>
    <x v="2"/>
    <x v="0"/>
    <s v="Customer 21"/>
    <x v="9"/>
    <x v="3"/>
    <n v="6"/>
    <n v="459.8"/>
    <n v="15"/>
    <n v="2344.98"/>
    <n v="1594.8"/>
    <n v="750.18"/>
    <n v="0.31990891180308573"/>
  </r>
  <r>
    <s v="ORD0498"/>
    <s v="2025-06-15"/>
    <x v="6"/>
    <s v="Q2"/>
    <x v="3"/>
    <x v="0"/>
    <s v="Customer 20"/>
    <x v="7"/>
    <x v="2"/>
    <n v="4"/>
    <n v="8614.32"/>
    <n v="15"/>
    <n v="29288.69"/>
    <n v="19555.82"/>
    <n v="9732.8700000000008"/>
    <n v="0.33230813669030612"/>
  </r>
  <r>
    <s v="ORD0536"/>
    <s v="2025-06-18"/>
    <x v="6"/>
    <s v="Q2"/>
    <x v="3"/>
    <x v="5"/>
    <s v="Customer 35"/>
    <x v="0"/>
    <x v="0"/>
    <n v="2"/>
    <n v="30.69"/>
    <n v="15"/>
    <n v="52.17"/>
    <n v="38.950000000000003"/>
    <n v="13.22"/>
    <n v="0.25340233850872151"/>
  </r>
  <r>
    <s v="ORD0601"/>
    <s v="2025-06-10"/>
    <x v="6"/>
    <s v="Q2"/>
    <x v="3"/>
    <x v="4"/>
    <s v="Customer 47"/>
    <x v="2"/>
    <x v="2"/>
    <n v="3"/>
    <n v="4481.05"/>
    <n v="15"/>
    <n v="11426.68"/>
    <n v="7547.74"/>
    <n v="3878.94"/>
    <n v="0.33946343119786326"/>
  </r>
  <r>
    <s v="ORD0775"/>
    <s v="2025-06-18"/>
    <x v="6"/>
    <s v="Q2"/>
    <x v="0"/>
    <x v="4"/>
    <s v="Customer 25"/>
    <x v="0"/>
    <x v="0"/>
    <n v="5"/>
    <n v="28.91"/>
    <n v="15"/>
    <n v="122.87"/>
    <n v="94.79"/>
    <n v="28.08"/>
    <n v="0.22853422316269226"/>
  </r>
  <r>
    <s v="ORD0964"/>
    <s v="2025-06-21"/>
    <x v="6"/>
    <s v="Q2"/>
    <x v="1"/>
    <x v="2"/>
    <s v="Customer 28"/>
    <x v="6"/>
    <x v="1"/>
    <n v="3"/>
    <n v="63199.31"/>
    <n v="15"/>
    <n v="161158.24"/>
    <n v="98519.99"/>
    <n v="62638.25"/>
    <n v="0.38867544098272605"/>
  </r>
  <r>
    <s v="ORD0011"/>
    <s v="2025-03-13"/>
    <x v="7"/>
    <s v="Q1"/>
    <x v="0"/>
    <x v="2"/>
    <s v="Customer 35"/>
    <x v="6"/>
    <x v="1"/>
    <n v="8"/>
    <n v="57720.9"/>
    <n v="15"/>
    <n v="392502.12"/>
    <n v="331093.59000000003"/>
    <n v="61408.53"/>
    <n v="0.15645400845223459"/>
  </r>
  <r>
    <s v="ORD0018"/>
    <s v="2025-03-18"/>
    <x v="7"/>
    <s v="Q1"/>
    <x v="1"/>
    <x v="5"/>
    <s v="Customer 3"/>
    <x v="3"/>
    <x v="0"/>
    <n v="5"/>
    <n v="113.72"/>
    <n v="15"/>
    <n v="483.31"/>
    <n v="293.75"/>
    <n v="189.56"/>
    <n v="0.39221203782251557"/>
  </r>
  <r>
    <s v="ORD0021"/>
    <s v="2025-03-15"/>
    <x v="7"/>
    <s v="Q1"/>
    <x v="3"/>
    <x v="2"/>
    <s v="Customer 38"/>
    <x v="4"/>
    <x v="1"/>
    <n v="6"/>
    <n v="2662.63"/>
    <n v="15"/>
    <n v="13579.41"/>
    <n v="8062.38"/>
    <n v="5517.03"/>
    <n v="0.40627906514347822"/>
  </r>
  <r>
    <s v="ORD0099"/>
    <s v="2025-03-25"/>
    <x v="7"/>
    <s v="Q1"/>
    <x v="0"/>
    <x v="0"/>
    <s v="Customer 9"/>
    <x v="9"/>
    <x v="3"/>
    <n v="3"/>
    <n v="499.63"/>
    <n v="15"/>
    <n v="1274.06"/>
    <n v="968.25"/>
    <n v="305.81"/>
    <n v="0.24002794216912862"/>
  </r>
  <r>
    <s v="ORD0130"/>
    <s v="2025-03-10"/>
    <x v="7"/>
    <s v="Q1"/>
    <x v="0"/>
    <x v="4"/>
    <s v="Customer 41"/>
    <x v="5"/>
    <x v="1"/>
    <n v="4"/>
    <n v="900.04"/>
    <n v="15"/>
    <n v="3060.14"/>
    <n v="2121.29"/>
    <n v="938.85"/>
    <n v="0.30679968890312209"/>
  </r>
  <r>
    <s v="ORD0151"/>
    <s v="2025-03-01"/>
    <x v="7"/>
    <s v="Q1"/>
    <x v="2"/>
    <x v="3"/>
    <s v="Customer 39"/>
    <x v="7"/>
    <x v="2"/>
    <n v="5"/>
    <n v="7664.67"/>
    <n v="15"/>
    <n v="32574.85"/>
    <n v="20056.099999999999"/>
    <n v="12518.75"/>
    <n v="0.38430721860576489"/>
  </r>
  <r>
    <s v="ORD0261"/>
    <s v="2025-03-03"/>
    <x v="7"/>
    <s v="Q1"/>
    <x v="3"/>
    <x v="1"/>
    <s v="Customer 48"/>
    <x v="0"/>
    <x v="0"/>
    <n v="3"/>
    <n v="27.54"/>
    <n v="15"/>
    <n v="70.23"/>
    <n v="44.62"/>
    <n v="25.61"/>
    <n v="0.36465897764488109"/>
  </r>
  <r>
    <s v="ORD0326"/>
    <s v="2025-03-18"/>
    <x v="7"/>
    <s v="Q1"/>
    <x v="1"/>
    <x v="2"/>
    <s v="Customer 7"/>
    <x v="2"/>
    <x v="2"/>
    <n v="2"/>
    <n v="4164.54"/>
    <n v="15"/>
    <n v="7079.72"/>
    <n v="5891.36"/>
    <n v="1188.3599999999999"/>
    <n v="0.16785409592469758"/>
  </r>
  <r>
    <s v="ORD0329"/>
    <s v="2025-03-25"/>
    <x v="7"/>
    <s v="Q1"/>
    <x v="3"/>
    <x v="3"/>
    <s v="Customer 15"/>
    <x v="7"/>
    <x v="2"/>
    <n v="8"/>
    <n v="7262.8"/>
    <n v="15"/>
    <n v="49387.040000000001"/>
    <n v="35494.93"/>
    <n v="13892.11"/>
    <n v="0.28129059769526582"/>
  </r>
  <r>
    <s v="ORD0474"/>
    <s v="2025-03-01"/>
    <x v="7"/>
    <s v="Q1"/>
    <x v="3"/>
    <x v="5"/>
    <s v="Customer 39"/>
    <x v="9"/>
    <x v="3"/>
    <n v="7"/>
    <n v="450.46"/>
    <n v="15"/>
    <n v="2680.24"/>
    <n v="1741.9"/>
    <n v="938.34"/>
    <n v="0.35009551383458204"/>
  </r>
  <r>
    <s v="ORD0517"/>
    <s v="2025-03-28"/>
    <x v="7"/>
    <s v="Q1"/>
    <x v="1"/>
    <x v="5"/>
    <s v="Customer 39"/>
    <x v="3"/>
    <x v="0"/>
    <n v="7"/>
    <n v="129.84"/>
    <n v="15"/>
    <n v="772.55"/>
    <n v="571.16999999999996"/>
    <n v="201.38"/>
    <n v="0.26066921234871532"/>
  </r>
  <r>
    <s v="ORD0570"/>
    <s v="2025-03-10"/>
    <x v="7"/>
    <s v="Q1"/>
    <x v="3"/>
    <x v="2"/>
    <s v="Customer 44"/>
    <x v="9"/>
    <x v="3"/>
    <n v="8"/>
    <n v="530.51"/>
    <n v="15"/>
    <n v="3607.47"/>
    <n v="2786.11"/>
    <n v="821.36"/>
    <n v="0.22768311309588163"/>
  </r>
  <r>
    <s v="ORD0593"/>
    <s v="2025-03-07"/>
    <x v="7"/>
    <s v="Q1"/>
    <x v="1"/>
    <x v="2"/>
    <s v="Customer 6"/>
    <x v="1"/>
    <x v="1"/>
    <n v="5"/>
    <n v="22904.3"/>
    <n v="15"/>
    <n v="97343.27"/>
    <n v="70606.73"/>
    <n v="26736.54"/>
    <n v="0.27466243942698865"/>
  </r>
  <r>
    <s v="ORD0692"/>
    <s v="2025-03-23"/>
    <x v="7"/>
    <s v="Q1"/>
    <x v="0"/>
    <x v="4"/>
    <s v="Customer 34"/>
    <x v="2"/>
    <x v="2"/>
    <n v="7"/>
    <n v="4773.09"/>
    <n v="15"/>
    <n v="28399.89"/>
    <n v="15940.82"/>
    <n v="12459.07"/>
    <n v="0.43870134708268238"/>
  </r>
  <r>
    <s v="ORD0943"/>
    <s v="2025-03-18"/>
    <x v="7"/>
    <s v="Q1"/>
    <x v="1"/>
    <x v="2"/>
    <s v="Customer 15"/>
    <x v="0"/>
    <x v="0"/>
    <n v="4"/>
    <n v="29.81"/>
    <n v="15"/>
    <n v="101.35"/>
    <n v="78.59"/>
    <n v="22.76"/>
    <n v="0.22456832757770107"/>
  </r>
  <r>
    <s v="ORD0032"/>
    <s v="2025-05-08"/>
    <x v="8"/>
    <s v="Q2"/>
    <x v="3"/>
    <x v="5"/>
    <s v="Customer 50"/>
    <x v="6"/>
    <x v="1"/>
    <n v="7"/>
    <n v="57598.59"/>
    <n v="15"/>
    <n v="342711.61"/>
    <n v="282562.46000000002"/>
    <n v="60149.15"/>
    <n v="0.17550951950533572"/>
  </r>
  <r>
    <s v="ORD0056"/>
    <s v="2025-05-26"/>
    <x v="8"/>
    <s v="Q2"/>
    <x v="0"/>
    <x v="4"/>
    <s v="Customer 30"/>
    <x v="9"/>
    <x v="3"/>
    <n v="5"/>
    <n v="500.27"/>
    <n v="15"/>
    <n v="2126.15"/>
    <n v="1209.92"/>
    <n v="916.23"/>
    <n v="0.43093384756484726"/>
  </r>
  <r>
    <s v="ORD0105"/>
    <s v="2025-05-11"/>
    <x v="8"/>
    <s v="Q2"/>
    <x v="3"/>
    <x v="5"/>
    <s v="Customer 2"/>
    <x v="4"/>
    <x v="1"/>
    <n v="3"/>
    <n v="2585.3000000000002"/>
    <n v="15"/>
    <n v="6592.52"/>
    <n v="4562.6400000000003"/>
    <n v="2029.88"/>
    <n v="0.30790653649894123"/>
  </r>
  <r>
    <s v="ORD0116"/>
    <s v="2025-05-10"/>
    <x v="8"/>
    <s v="Q2"/>
    <x v="2"/>
    <x v="1"/>
    <s v="Customer 35"/>
    <x v="1"/>
    <x v="1"/>
    <n v="3"/>
    <n v="26181.54"/>
    <n v="15"/>
    <n v="66762.929999999993"/>
    <n v="49877.41"/>
    <n v="16885.52"/>
    <n v="0.25291759963201138"/>
  </r>
  <r>
    <s v="ORD0428"/>
    <s v="2025-05-16"/>
    <x v="8"/>
    <s v="Q2"/>
    <x v="1"/>
    <x v="1"/>
    <s v="Customer 27"/>
    <x v="1"/>
    <x v="1"/>
    <n v="7"/>
    <n v="25177.72"/>
    <n v="15"/>
    <n v="149807.43"/>
    <n v="89076.86"/>
    <n v="60730.57"/>
    <n v="0.4053909075137328"/>
  </r>
  <r>
    <s v="ORD0484"/>
    <s v="2025-05-30"/>
    <x v="8"/>
    <s v="Q2"/>
    <x v="0"/>
    <x v="5"/>
    <s v="Customer 14"/>
    <x v="9"/>
    <x v="3"/>
    <n v="3"/>
    <n v="524.45000000000005"/>
    <n v="15"/>
    <n v="1337.35"/>
    <n v="1046.75"/>
    <n v="290.60000000000002"/>
    <n v="0.2172953976146858"/>
  </r>
  <r>
    <s v="ORD0613"/>
    <s v="2025-05-12"/>
    <x v="8"/>
    <s v="Q2"/>
    <x v="3"/>
    <x v="3"/>
    <s v="Customer 2"/>
    <x v="7"/>
    <x v="2"/>
    <n v="4"/>
    <n v="7991.6"/>
    <n v="15"/>
    <n v="27171.439999999999"/>
    <n v="18336.5"/>
    <n v="8834.94"/>
    <n v="0.32515538374116354"/>
  </r>
  <r>
    <s v="ORD0647"/>
    <s v="2025-05-01"/>
    <x v="8"/>
    <s v="Q2"/>
    <x v="1"/>
    <x v="1"/>
    <s v="Customer 46"/>
    <x v="4"/>
    <x v="1"/>
    <n v="2"/>
    <n v="2410.0500000000002"/>
    <n v="15"/>
    <n v="4097.09"/>
    <n v="3356.33"/>
    <n v="740.76"/>
    <n v="0.18080149569572548"/>
  </r>
  <r>
    <s v="ORD0654"/>
    <s v="2025-05-05"/>
    <x v="8"/>
    <s v="Q2"/>
    <x v="3"/>
    <x v="1"/>
    <s v="Customer 8"/>
    <x v="5"/>
    <x v="1"/>
    <n v="8"/>
    <n v="895.14"/>
    <n v="15"/>
    <n v="6086.95"/>
    <n v="4455.28"/>
    <n v="1631.67"/>
    <n v="0.26806035863609856"/>
  </r>
  <r>
    <s v="ORD0700"/>
    <s v="2025-05-17"/>
    <x v="8"/>
    <s v="Q2"/>
    <x v="1"/>
    <x v="1"/>
    <s v="Customer 44"/>
    <x v="9"/>
    <x v="3"/>
    <n v="3"/>
    <n v="525.01"/>
    <n v="15"/>
    <n v="1338.78"/>
    <n v="942.37"/>
    <n v="396.41"/>
    <n v="0.29609793991544542"/>
  </r>
  <r>
    <s v="ORD0771"/>
    <s v="2025-05-18"/>
    <x v="8"/>
    <s v="Q2"/>
    <x v="1"/>
    <x v="0"/>
    <s v="Customer 19"/>
    <x v="6"/>
    <x v="1"/>
    <n v="8"/>
    <n v="54931.56"/>
    <n v="15"/>
    <n v="373534.61"/>
    <n v="299966.84999999998"/>
    <n v="73567.759999999995"/>
    <n v="0.19695031740164584"/>
  </r>
  <r>
    <s v="ORD0889"/>
    <s v="2025-05-14"/>
    <x v="8"/>
    <s v="Q2"/>
    <x v="2"/>
    <x v="1"/>
    <s v="Customer 27"/>
    <x v="4"/>
    <x v="1"/>
    <n v="8"/>
    <n v="2442.4699999999998"/>
    <n v="15"/>
    <n v="16608.8"/>
    <n v="11703.5"/>
    <n v="4905.3"/>
    <n v="0.29534343239728339"/>
  </r>
  <r>
    <s v="ORD0055"/>
    <s v="2025-11-03"/>
    <x v="9"/>
    <s v="Q4"/>
    <x v="2"/>
    <x v="4"/>
    <s v="Customer 6"/>
    <x v="1"/>
    <x v="1"/>
    <n v="5"/>
    <n v="27264.14"/>
    <n v="15"/>
    <n v="115872.6"/>
    <n v="76020.38"/>
    <n v="39852.22"/>
    <n v="0.34393135219197635"/>
  </r>
  <r>
    <s v="ORD0106"/>
    <s v="2025-11-21"/>
    <x v="9"/>
    <s v="Q4"/>
    <x v="0"/>
    <x v="3"/>
    <s v="Customer 39"/>
    <x v="7"/>
    <x v="2"/>
    <n v="3"/>
    <n v="8276.5499999999993"/>
    <n v="15"/>
    <n v="21105.200000000001"/>
    <n v="16113.19"/>
    <n v="4992.01"/>
    <n v="0.2365298599397305"/>
  </r>
  <r>
    <s v="ORD0240"/>
    <s v="2025-11-23"/>
    <x v="9"/>
    <s v="Q4"/>
    <x v="3"/>
    <x v="3"/>
    <s v="Customer 48"/>
    <x v="9"/>
    <x v="3"/>
    <n v="6"/>
    <n v="455.89"/>
    <n v="15"/>
    <n v="2325.04"/>
    <n v="1872.55"/>
    <n v="452.49"/>
    <n v="0.19461600660633796"/>
  </r>
  <r>
    <s v="ORD0347"/>
    <s v="2025-11-26"/>
    <x v="9"/>
    <s v="Q4"/>
    <x v="3"/>
    <x v="3"/>
    <s v="Customer 17"/>
    <x v="7"/>
    <x v="2"/>
    <n v="3"/>
    <n v="7639.83"/>
    <n v="15"/>
    <n v="19481.57"/>
    <n v="11475.99"/>
    <n v="8005.58"/>
    <n v="0.41093094653049012"/>
  </r>
  <r>
    <s v="ORD0387"/>
    <s v="2025-11-07"/>
    <x v="9"/>
    <s v="Q4"/>
    <x v="1"/>
    <x v="0"/>
    <s v="Customer 26"/>
    <x v="1"/>
    <x v="1"/>
    <n v="2"/>
    <n v="24613.21"/>
    <n v="15"/>
    <n v="41842.46"/>
    <n v="33818.519999999997"/>
    <n v="8023.94"/>
    <n v="0.1917654937114118"/>
  </r>
  <r>
    <s v="ORD0469"/>
    <s v="2025-11-23"/>
    <x v="9"/>
    <s v="Q4"/>
    <x v="1"/>
    <x v="1"/>
    <s v="Customer 43"/>
    <x v="7"/>
    <x v="2"/>
    <n v="4"/>
    <n v="7877.63"/>
    <n v="15"/>
    <n v="26783.94"/>
    <n v="20216.87"/>
    <n v="6567.07"/>
    <n v="0.24518685451057612"/>
  </r>
  <r>
    <s v="ORD0496"/>
    <s v="2025-11-15"/>
    <x v="9"/>
    <s v="Q4"/>
    <x v="1"/>
    <x v="0"/>
    <s v="Customer 20"/>
    <x v="8"/>
    <x v="3"/>
    <n v="2"/>
    <n v="1434.2"/>
    <n v="15"/>
    <n v="2438.14"/>
    <n v="1401.53"/>
    <n v="1036.6099999999999"/>
    <n v="0.42516426456233031"/>
  </r>
  <r>
    <s v="ORD0507"/>
    <s v="2025-11-26"/>
    <x v="9"/>
    <s v="Q4"/>
    <x v="0"/>
    <x v="5"/>
    <s v="Customer 16"/>
    <x v="8"/>
    <x v="3"/>
    <n v="4"/>
    <n v="1372.09"/>
    <n v="15"/>
    <n v="4665.1099999999997"/>
    <n v="3919.16"/>
    <n v="745.95"/>
    <n v="0.15989976656498991"/>
  </r>
  <r>
    <s v="ORD0594"/>
    <s v="2025-11-27"/>
    <x v="9"/>
    <s v="Q4"/>
    <x v="3"/>
    <x v="3"/>
    <s v="Customer 35"/>
    <x v="8"/>
    <x v="3"/>
    <n v="1"/>
    <n v="1381.83"/>
    <n v="15"/>
    <n v="1174.56"/>
    <n v="819.92"/>
    <n v="354.64"/>
    <n v="0.3019343413703855"/>
  </r>
  <r>
    <s v="ORD0598"/>
    <s v="2025-11-21"/>
    <x v="9"/>
    <s v="Q4"/>
    <x v="0"/>
    <x v="1"/>
    <s v="Customer 39"/>
    <x v="2"/>
    <x v="2"/>
    <n v="3"/>
    <n v="4781.82"/>
    <n v="15"/>
    <n v="12193.64"/>
    <n v="8869.5499999999993"/>
    <n v="3324.09"/>
    <n v="0.27260850738581754"/>
  </r>
  <r>
    <s v="ORD0655"/>
    <s v="2025-11-27"/>
    <x v="9"/>
    <s v="Q4"/>
    <x v="0"/>
    <x v="2"/>
    <s v="Customer 25"/>
    <x v="7"/>
    <x v="2"/>
    <n v="8"/>
    <n v="7404.4"/>
    <n v="15"/>
    <n v="50349.919999999998"/>
    <n v="33710.730000000003"/>
    <n v="16639.189999999999"/>
    <n v="0.33047103153292001"/>
  </r>
  <r>
    <s v="ORD0674"/>
    <s v="2025-11-25"/>
    <x v="9"/>
    <s v="Q4"/>
    <x v="2"/>
    <x v="3"/>
    <s v="Customer 34"/>
    <x v="1"/>
    <x v="1"/>
    <n v="1"/>
    <n v="22607.8"/>
    <n v="15"/>
    <n v="19216.63"/>
    <n v="13422.18"/>
    <n v="5794.45"/>
    <n v="0.30153309919585275"/>
  </r>
  <r>
    <s v="ORD0709"/>
    <s v="2025-11-07"/>
    <x v="9"/>
    <s v="Q4"/>
    <x v="0"/>
    <x v="4"/>
    <s v="Customer 40"/>
    <x v="5"/>
    <x v="1"/>
    <n v="5"/>
    <n v="829.39"/>
    <n v="15"/>
    <n v="3524.91"/>
    <n v="2398.0700000000002"/>
    <n v="1126.8399999999999"/>
    <n v="0.31967908400498168"/>
  </r>
  <r>
    <s v="ORD0787"/>
    <s v="2025-11-21"/>
    <x v="9"/>
    <s v="Q4"/>
    <x v="0"/>
    <x v="2"/>
    <s v="Customer 26"/>
    <x v="8"/>
    <x v="3"/>
    <n v="6"/>
    <n v="1550.04"/>
    <n v="15"/>
    <n v="7905.2"/>
    <n v="4617.4799999999996"/>
    <n v="3287.72"/>
    <n v="0.41589333603197892"/>
  </r>
  <r>
    <s v="ORD0945"/>
    <s v="2025-11-13"/>
    <x v="9"/>
    <s v="Q4"/>
    <x v="2"/>
    <x v="4"/>
    <s v="Customer 28"/>
    <x v="4"/>
    <x v="1"/>
    <n v="3"/>
    <n v="2495.0700000000002"/>
    <n v="15"/>
    <n v="6362.43"/>
    <n v="4495.13"/>
    <n v="1867.3"/>
    <n v="0.29348849417596734"/>
  </r>
  <r>
    <s v="ORD0955"/>
    <s v="2025-11-23"/>
    <x v="9"/>
    <s v="Q4"/>
    <x v="1"/>
    <x v="1"/>
    <s v="Customer 29"/>
    <x v="9"/>
    <x v="3"/>
    <n v="1"/>
    <n v="487.08"/>
    <n v="15"/>
    <n v="414.02"/>
    <n v="258.27"/>
    <n v="155.75"/>
    <n v="0.37618955606009374"/>
  </r>
  <r>
    <s v="ORD0985"/>
    <s v="2025-11-06"/>
    <x v="9"/>
    <s v="Q4"/>
    <x v="1"/>
    <x v="0"/>
    <s v="Customer 7"/>
    <x v="4"/>
    <x v="1"/>
    <n v="7"/>
    <n v="2396.7800000000002"/>
    <n v="15"/>
    <n v="14260.84"/>
    <n v="9925.42"/>
    <n v="4335.42"/>
    <n v="0.30400874001811956"/>
  </r>
  <r>
    <s v="ORD0061"/>
    <s v="2025-10-08"/>
    <x v="10"/>
    <s v="Q4"/>
    <x v="1"/>
    <x v="3"/>
    <s v="Customer 33"/>
    <x v="9"/>
    <x v="3"/>
    <n v="7"/>
    <n v="526.66"/>
    <n v="15"/>
    <n v="3133.63"/>
    <n v="2328"/>
    <n v="805.63"/>
    <n v="0.25709161579382378"/>
  </r>
  <r>
    <s v="ORD0081"/>
    <s v="2025-10-18"/>
    <x v="10"/>
    <s v="Q4"/>
    <x v="3"/>
    <x v="0"/>
    <s v="Customer 27"/>
    <x v="5"/>
    <x v="1"/>
    <n v="7"/>
    <n v="870.02"/>
    <n v="15"/>
    <n v="5176.62"/>
    <n v="3799.85"/>
    <n v="1376.77"/>
    <n v="0.26595925526695025"/>
  </r>
  <r>
    <s v="ORD0089"/>
    <s v="2025-10-27"/>
    <x v="10"/>
    <s v="Q4"/>
    <x v="3"/>
    <x v="3"/>
    <s v="Customer 40"/>
    <x v="0"/>
    <x v="0"/>
    <n v="1"/>
    <n v="30.49"/>
    <n v="15"/>
    <n v="25.92"/>
    <n v="22.03"/>
    <n v="3.89"/>
    <n v="0.15007716049382716"/>
  </r>
  <r>
    <s v="ORD0274"/>
    <s v="2025-10-16"/>
    <x v="10"/>
    <s v="Q4"/>
    <x v="1"/>
    <x v="3"/>
    <s v="Customer 36"/>
    <x v="2"/>
    <x v="2"/>
    <n v="2"/>
    <n v="4494.97"/>
    <n v="15"/>
    <n v="7641.45"/>
    <n v="6174.4"/>
    <n v="1467.05"/>
    <n v="0.19198581421065375"/>
  </r>
  <r>
    <s v="ORD0295"/>
    <s v="2025-10-06"/>
    <x v="10"/>
    <s v="Q4"/>
    <x v="0"/>
    <x v="3"/>
    <s v="Customer 23"/>
    <x v="6"/>
    <x v="1"/>
    <n v="5"/>
    <n v="57861.36"/>
    <n v="15"/>
    <n v="245910.78"/>
    <n v="137944.54999999999"/>
    <n v="107966.23"/>
    <n v="0.43904634843580259"/>
  </r>
  <r>
    <s v="ORD0334"/>
    <s v="2025-10-02"/>
    <x v="10"/>
    <s v="Q4"/>
    <x v="0"/>
    <x v="5"/>
    <s v="Customer 44"/>
    <x v="0"/>
    <x v="0"/>
    <n v="3"/>
    <n v="30.55"/>
    <n v="15"/>
    <n v="77.900000000000006"/>
    <n v="51.18"/>
    <n v="26.72"/>
    <n v="0.34300385109114245"/>
  </r>
  <r>
    <s v="ORD0357"/>
    <s v="2025-10-21"/>
    <x v="10"/>
    <s v="Q4"/>
    <x v="2"/>
    <x v="0"/>
    <s v="Customer 17"/>
    <x v="0"/>
    <x v="0"/>
    <n v="6"/>
    <n v="27.88"/>
    <n v="15"/>
    <n v="142.19"/>
    <n v="79.95"/>
    <n v="62.24"/>
    <n v="0.43772417188269219"/>
  </r>
  <r>
    <s v="ORD0382"/>
    <s v="2025-10-31"/>
    <x v="10"/>
    <s v="Q4"/>
    <x v="2"/>
    <x v="2"/>
    <s v="Customer 35"/>
    <x v="8"/>
    <x v="3"/>
    <n v="8"/>
    <n v="1468.06"/>
    <n v="15"/>
    <n v="9982.81"/>
    <n v="7352.1"/>
    <n v="2630.71"/>
    <n v="0.26352399775213592"/>
  </r>
  <r>
    <s v="ORD0383"/>
    <s v="2025-10-31"/>
    <x v="10"/>
    <s v="Q4"/>
    <x v="1"/>
    <x v="4"/>
    <s v="Customer 44"/>
    <x v="0"/>
    <x v="0"/>
    <n v="2"/>
    <n v="32.92"/>
    <n v="15"/>
    <n v="55.96"/>
    <n v="43.57"/>
    <n v="12.39"/>
    <n v="0.22140814867762687"/>
  </r>
  <r>
    <s v="ORD0399"/>
    <s v="2025-10-05"/>
    <x v="10"/>
    <s v="Q4"/>
    <x v="0"/>
    <x v="2"/>
    <s v="Customer 5"/>
    <x v="5"/>
    <x v="1"/>
    <n v="2"/>
    <n v="871.86"/>
    <n v="15"/>
    <n v="1482.16"/>
    <n v="965.35"/>
    <n v="516.80999999999995"/>
    <n v="0.3486870513304906"/>
  </r>
  <r>
    <s v="ORD0431"/>
    <s v="2025-10-26"/>
    <x v="10"/>
    <s v="Q4"/>
    <x v="3"/>
    <x v="1"/>
    <s v="Customer 25"/>
    <x v="5"/>
    <x v="1"/>
    <n v="6"/>
    <n v="970.83"/>
    <n v="15"/>
    <n v="4951.2299999999996"/>
    <n v="2779.44"/>
    <n v="2171.79"/>
    <n v="0.43863646003114382"/>
  </r>
  <r>
    <s v="ORD0443"/>
    <s v="2025-10-14"/>
    <x v="10"/>
    <s v="Q4"/>
    <x v="3"/>
    <x v="3"/>
    <s v="Customer 17"/>
    <x v="0"/>
    <x v="0"/>
    <n v="8"/>
    <n v="31.07"/>
    <n v="15"/>
    <n v="211.28"/>
    <n v="171.89"/>
    <n v="39.39"/>
    <n v="0.18643506247633473"/>
  </r>
  <r>
    <s v="ORD0505"/>
    <s v="2025-10-31"/>
    <x v="10"/>
    <s v="Q4"/>
    <x v="0"/>
    <x v="0"/>
    <s v="Customer 11"/>
    <x v="2"/>
    <x v="2"/>
    <n v="3"/>
    <n v="4693.4799999999996"/>
    <n v="15"/>
    <n v="11968.37"/>
    <n v="8380.1"/>
    <n v="3588.27"/>
    <n v="0.29981275645722849"/>
  </r>
  <r>
    <s v="ORD0703"/>
    <s v="2025-10-15"/>
    <x v="10"/>
    <s v="Q4"/>
    <x v="3"/>
    <x v="5"/>
    <s v="Customer 35"/>
    <x v="5"/>
    <x v="1"/>
    <n v="6"/>
    <n v="908.75"/>
    <n v="15"/>
    <n v="4634.62"/>
    <n v="3915.81"/>
    <n v="718.81"/>
    <n v="0.15509577915773029"/>
  </r>
  <r>
    <s v="ORD0740"/>
    <s v="2025-10-18"/>
    <x v="10"/>
    <s v="Q4"/>
    <x v="1"/>
    <x v="0"/>
    <s v="Customer 16"/>
    <x v="3"/>
    <x v="0"/>
    <n v="8"/>
    <n v="131.84"/>
    <n v="15"/>
    <n v="896.51"/>
    <n v="499.81"/>
    <n v="396.7"/>
    <n v="0.44249366989771444"/>
  </r>
  <r>
    <s v="ORD0792"/>
    <s v="2025-10-10"/>
    <x v="10"/>
    <s v="Q4"/>
    <x v="2"/>
    <x v="5"/>
    <s v="Customer 32"/>
    <x v="4"/>
    <x v="1"/>
    <n v="2"/>
    <n v="2470.42"/>
    <n v="15"/>
    <n v="4199.71"/>
    <n v="3448.33"/>
    <n v="751.38"/>
    <n v="0.17891235347202544"/>
  </r>
  <r>
    <s v="ORD0807"/>
    <s v="2025-10-18"/>
    <x v="10"/>
    <s v="Q4"/>
    <x v="3"/>
    <x v="2"/>
    <s v="Customer 20"/>
    <x v="8"/>
    <x v="3"/>
    <n v="7"/>
    <n v="1647.5"/>
    <n v="15"/>
    <n v="9802.6200000000008"/>
    <n v="6502.83"/>
    <n v="3299.79"/>
    <n v="0.33662327010533916"/>
  </r>
  <r>
    <s v="ORD0904"/>
    <s v="2025-10-27"/>
    <x v="10"/>
    <s v="Q4"/>
    <x v="0"/>
    <x v="3"/>
    <s v="Customer 47"/>
    <x v="2"/>
    <x v="2"/>
    <n v="7"/>
    <n v="4577.2299999999996"/>
    <n v="15"/>
    <n v="27234.52"/>
    <n v="17051.830000000002"/>
    <n v="10182.69"/>
    <n v="0.37388909369432616"/>
  </r>
  <r>
    <s v="ORD0918"/>
    <s v="2025-10-07"/>
    <x v="10"/>
    <s v="Q4"/>
    <x v="3"/>
    <x v="0"/>
    <s v="Customer 46"/>
    <x v="3"/>
    <x v="0"/>
    <n v="7"/>
    <n v="108.06"/>
    <n v="15"/>
    <n v="642.96"/>
    <n v="498.72"/>
    <n v="144.24"/>
    <n v="0.22433743934303846"/>
  </r>
  <r>
    <s v="ORD0921"/>
    <s v="2025-10-31"/>
    <x v="10"/>
    <s v="Q4"/>
    <x v="1"/>
    <x v="5"/>
    <s v="Customer 44"/>
    <x v="2"/>
    <x v="2"/>
    <n v="7"/>
    <n v="4209.7700000000004"/>
    <n v="15"/>
    <n v="25048.13"/>
    <n v="19868.509999999998"/>
    <n v="5179.62"/>
    <n v="0.20678669425621793"/>
  </r>
  <r>
    <s v="ORD0953"/>
    <s v="2025-10-15"/>
    <x v="10"/>
    <s v="Q4"/>
    <x v="1"/>
    <x v="4"/>
    <s v="Customer 21"/>
    <x v="9"/>
    <x v="3"/>
    <n v="2"/>
    <n v="477.36"/>
    <n v="15"/>
    <n v="811.51"/>
    <n v="541.01"/>
    <n v="270.5"/>
    <n v="0.3333292257643159"/>
  </r>
  <r>
    <s v="ORD0993"/>
    <s v="2025-10-10"/>
    <x v="10"/>
    <s v="Q4"/>
    <x v="2"/>
    <x v="2"/>
    <s v="Customer 47"/>
    <x v="3"/>
    <x v="0"/>
    <n v="1"/>
    <n v="117.4"/>
    <n v="15"/>
    <n v="99.79"/>
    <n v="60.12"/>
    <n v="39.67"/>
    <n v="0.39753482312856997"/>
  </r>
  <r>
    <s v="ORD0034"/>
    <s v="2025-09-21"/>
    <x v="11"/>
    <s v="Q3"/>
    <x v="0"/>
    <x v="1"/>
    <s v="Customer 2"/>
    <x v="1"/>
    <x v="1"/>
    <n v="3"/>
    <n v="23215.47"/>
    <n v="15"/>
    <n v="59199.45"/>
    <n v="34440.269999999997"/>
    <n v="24759.18"/>
    <n v="0.41823327750511197"/>
  </r>
  <r>
    <s v="ORD0049"/>
    <s v="2025-09-20"/>
    <x v="11"/>
    <s v="Q3"/>
    <x v="0"/>
    <x v="4"/>
    <s v="Customer 20"/>
    <x v="3"/>
    <x v="0"/>
    <n v="3"/>
    <n v="116.46"/>
    <n v="15"/>
    <n v="296.97000000000003"/>
    <n v="207.3"/>
    <n v="89.67"/>
    <n v="0.30194969188806947"/>
  </r>
  <r>
    <s v="ORD0159"/>
    <s v="2025-09-07"/>
    <x v="11"/>
    <s v="Q3"/>
    <x v="0"/>
    <x v="4"/>
    <s v="Customer 6"/>
    <x v="1"/>
    <x v="1"/>
    <n v="1"/>
    <n v="27259.8"/>
    <n v="15"/>
    <n v="23170.83"/>
    <n v="15699.37"/>
    <n v="7471.46"/>
    <n v="0.32245111633894857"/>
  </r>
  <r>
    <s v="ORD0214"/>
    <s v="2025-09-18"/>
    <x v="11"/>
    <s v="Q3"/>
    <x v="1"/>
    <x v="1"/>
    <s v="Customer 4"/>
    <x v="4"/>
    <x v="1"/>
    <n v="6"/>
    <n v="2488.38"/>
    <n v="15"/>
    <n v="12690.74"/>
    <n v="7382.7"/>
    <n v="5308.04"/>
    <n v="0.41826087367639714"/>
  </r>
  <r>
    <s v="ORD0227"/>
    <s v="2025-09-09"/>
    <x v="11"/>
    <s v="Q3"/>
    <x v="1"/>
    <x v="3"/>
    <s v="Customer 46"/>
    <x v="4"/>
    <x v="1"/>
    <n v="4"/>
    <n v="2634.35"/>
    <n v="15"/>
    <n v="8956.7900000000009"/>
    <n v="6983.25"/>
    <n v="1973.54"/>
    <n v="0.22034009952226186"/>
  </r>
  <r>
    <s v="ORD0354"/>
    <s v="2025-09-06"/>
    <x v="11"/>
    <s v="Q3"/>
    <x v="1"/>
    <x v="0"/>
    <s v="Customer 5"/>
    <x v="6"/>
    <x v="1"/>
    <n v="6"/>
    <n v="65319.32"/>
    <n v="15"/>
    <n v="333128.53000000003"/>
    <n v="221496.84"/>
    <n v="111631.69"/>
    <n v="0.33510095938045292"/>
  </r>
  <r>
    <s v="ORD0381"/>
    <s v="2025-09-26"/>
    <x v="11"/>
    <s v="Q3"/>
    <x v="0"/>
    <x v="2"/>
    <s v="Customer 31"/>
    <x v="6"/>
    <x v="1"/>
    <n v="2"/>
    <n v="56191.33"/>
    <n v="15"/>
    <n v="95525.26"/>
    <n v="71276.45"/>
    <n v="24248.81"/>
    <n v="0.25384709761585578"/>
  </r>
  <r>
    <s v="ORD0479"/>
    <s v="2025-09-30"/>
    <x v="11"/>
    <s v="Q3"/>
    <x v="3"/>
    <x v="5"/>
    <s v="Customer 32"/>
    <x v="2"/>
    <x v="2"/>
    <n v="5"/>
    <n v="4090.87"/>
    <n v="15"/>
    <n v="17386.2"/>
    <n v="12636.37"/>
    <n v="4749.83"/>
    <n v="0.27319540785220459"/>
  </r>
  <r>
    <s v="ORD0656"/>
    <s v="2025-09-15"/>
    <x v="11"/>
    <s v="Q3"/>
    <x v="3"/>
    <x v="2"/>
    <s v="Customer 19"/>
    <x v="5"/>
    <x v="1"/>
    <n v="6"/>
    <n v="826.24"/>
    <n v="15"/>
    <n v="4213.82"/>
    <n v="3411.36"/>
    <n v="802.46"/>
    <n v="0.19043528200065502"/>
  </r>
  <r>
    <s v="ORD0661"/>
    <s v="2025-09-27"/>
    <x v="11"/>
    <s v="Q3"/>
    <x v="3"/>
    <x v="2"/>
    <s v="Customer 39"/>
    <x v="3"/>
    <x v="0"/>
    <n v="3"/>
    <n v="126.68"/>
    <n v="15"/>
    <n v="323.02999999999997"/>
    <n v="249.66"/>
    <n v="73.37"/>
    <n v="0.22713060706435939"/>
  </r>
  <r>
    <s v="ORD0729"/>
    <s v="2025-09-25"/>
    <x v="11"/>
    <s v="Q3"/>
    <x v="2"/>
    <x v="5"/>
    <s v="Customer 8"/>
    <x v="7"/>
    <x v="2"/>
    <n v="1"/>
    <n v="7730.95"/>
    <n v="15"/>
    <n v="6571.31"/>
    <n v="3870.13"/>
    <n v="2701.18"/>
    <n v="0.41105654732465818"/>
  </r>
  <r>
    <s v="ORD0734"/>
    <s v="2025-09-22"/>
    <x v="11"/>
    <s v="Q3"/>
    <x v="0"/>
    <x v="4"/>
    <s v="Customer 45"/>
    <x v="7"/>
    <x v="2"/>
    <n v="5"/>
    <n v="7582.87"/>
    <n v="15"/>
    <n v="32227.200000000001"/>
    <n v="20735"/>
    <n v="11492.2"/>
    <n v="0.35659939430046672"/>
  </r>
  <r>
    <s v="ORD0751"/>
    <s v="2025-09-07"/>
    <x v="11"/>
    <s v="Q3"/>
    <x v="3"/>
    <x v="3"/>
    <s v="Customer 41"/>
    <x v="7"/>
    <x v="2"/>
    <n v="6"/>
    <n v="7348.43"/>
    <n v="15"/>
    <n v="37476.99"/>
    <n v="26312.86"/>
    <n v="11164.13"/>
    <n v="0.29789292042930876"/>
  </r>
  <r>
    <s v="ORD0800"/>
    <s v="2025-09-18"/>
    <x v="11"/>
    <s v="Q3"/>
    <x v="3"/>
    <x v="0"/>
    <s v="Customer 30"/>
    <x v="2"/>
    <x v="2"/>
    <n v="7"/>
    <n v="4153.33"/>
    <n v="15"/>
    <n v="24712.31"/>
    <n v="16948.87"/>
    <n v="7763.44"/>
    <n v="0.31415274411821476"/>
  </r>
  <r>
    <s v="ORD0808"/>
    <s v="2025-09-16"/>
    <x v="11"/>
    <s v="Q3"/>
    <x v="2"/>
    <x v="4"/>
    <s v="Customer 34"/>
    <x v="2"/>
    <x v="2"/>
    <n v="8"/>
    <n v="4700.93"/>
    <n v="15"/>
    <n v="31966.32"/>
    <n v="23406.3"/>
    <n v="8560.02"/>
    <n v="0.26778246604551292"/>
  </r>
  <r>
    <s v="ORD0842"/>
    <s v="2025-09-20"/>
    <x v="11"/>
    <s v="Q3"/>
    <x v="0"/>
    <x v="2"/>
    <s v="Customer 3"/>
    <x v="7"/>
    <x v="2"/>
    <n v="8"/>
    <n v="7854.61"/>
    <n v="15"/>
    <n v="53411.35"/>
    <n v="29387.84"/>
    <n v="24023.51"/>
    <n v="0.44978286450351845"/>
  </r>
  <r>
    <s v="ORD0879"/>
    <s v="2025-09-27"/>
    <x v="11"/>
    <s v="Q3"/>
    <x v="0"/>
    <x v="2"/>
    <s v="Customer 45"/>
    <x v="0"/>
    <x v="0"/>
    <n v="6"/>
    <n v="28.24"/>
    <n v="15"/>
    <n v="144.02000000000001"/>
    <n v="86.82"/>
    <n v="57.2"/>
    <n v="0.39716706013053743"/>
  </r>
  <r>
    <s v="ORD0952"/>
    <s v="2025-09-24"/>
    <x v="11"/>
    <s v="Q3"/>
    <x v="3"/>
    <x v="4"/>
    <s v="Customer 10"/>
    <x v="1"/>
    <x v="1"/>
    <n v="1"/>
    <n v="22740.22"/>
    <n v="15"/>
    <n v="19329.189999999999"/>
    <n v="11330.91"/>
    <n v="7998.28"/>
    <n v="0.41379281801254997"/>
  </r>
  <r>
    <s v="ORD0020"/>
    <s v="2025-04-12"/>
    <x v="0"/>
    <s v="Q2"/>
    <x v="0"/>
    <x v="2"/>
    <s v="Customer 31"/>
    <x v="1"/>
    <x v="1"/>
    <n v="6"/>
    <n v="22666.14"/>
    <n v="10"/>
    <n v="122397.16"/>
    <n v="91013.32"/>
    <n v="31383.84"/>
    <n v="0.25640987094798606"/>
  </r>
  <r>
    <s v="ORD0048"/>
    <s v="2025-04-02"/>
    <x v="0"/>
    <s v="Q2"/>
    <x v="1"/>
    <x v="4"/>
    <s v="Customer 45"/>
    <x v="7"/>
    <x v="2"/>
    <n v="4"/>
    <n v="8020.19"/>
    <n v="10"/>
    <n v="28872.68"/>
    <n v="23876.2"/>
    <n v="4996.4799999999996"/>
    <n v="0.17305217250355698"/>
  </r>
  <r>
    <s v="ORD0067"/>
    <s v="2025-04-29"/>
    <x v="0"/>
    <s v="Q2"/>
    <x v="3"/>
    <x v="1"/>
    <s v="Customer 1"/>
    <x v="3"/>
    <x v="0"/>
    <n v="5"/>
    <n v="127.14"/>
    <n v="10"/>
    <n v="572.13"/>
    <n v="438.1"/>
    <n v="134.03"/>
    <n v="0.23426493978641219"/>
  </r>
  <r>
    <s v="ORD0148"/>
    <s v="2025-04-21"/>
    <x v="0"/>
    <s v="Q2"/>
    <x v="1"/>
    <x v="0"/>
    <s v="Customer 42"/>
    <x v="5"/>
    <x v="1"/>
    <n v="1"/>
    <n v="868.84"/>
    <n v="10"/>
    <n v="781.96"/>
    <n v="627.35"/>
    <n v="154.61000000000001"/>
    <n v="0.1977211110542739"/>
  </r>
  <r>
    <s v="ORD0171"/>
    <s v="2025-04-05"/>
    <x v="0"/>
    <s v="Q2"/>
    <x v="2"/>
    <x v="2"/>
    <s v="Customer 16"/>
    <x v="1"/>
    <x v="1"/>
    <n v="7"/>
    <n v="23746.35"/>
    <n v="10"/>
    <n v="149602"/>
    <n v="124545.52"/>
    <n v="25056.48"/>
    <n v="0.16748760043314928"/>
  </r>
  <r>
    <s v="ORD0192"/>
    <s v="2025-04-16"/>
    <x v="0"/>
    <s v="Q2"/>
    <x v="3"/>
    <x v="2"/>
    <s v="Customer 16"/>
    <x v="5"/>
    <x v="1"/>
    <n v="2"/>
    <n v="817.01"/>
    <n v="10"/>
    <n v="1470.62"/>
    <n v="957.18"/>
    <n v="513.44000000000005"/>
    <n v="0.34913165875617092"/>
  </r>
  <r>
    <s v="ORD0385"/>
    <s v="2025-04-04"/>
    <x v="0"/>
    <s v="Q2"/>
    <x v="2"/>
    <x v="4"/>
    <s v="Customer 49"/>
    <x v="9"/>
    <x v="3"/>
    <n v="6"/>
    <n v="502.94"/>
    <n v="10"/>
    <n v="2715.88"/>
    <n v="2299.29"/>
    <n v="416.59"/>
    <n v="0.1533904296213382"/>
  </r>
  <r>
    <s v="ORD0473"/>
    <s v="2025-04-25"/>
    <x v="0"/>
    <s v="Q2"/>
    <x v="1"/>
    <x v="5"/>
    <s v="Customer 49"/>
    <x v="6"/>
    <x v="1"/>
    <n v="6"/>
    <n v="62106.48"/>
    <n v="10"/>
    <n v="335374.99"/>
    <n v="184805.12"/>
    <n v="150569.87"/>
    <n v="0.44895974503048064"/>
  </r>
  <r>
    <s v="ORD0544"/>
    <s v="2025-04-07"/>
    <x v="0"/>
    <s v="Q2"/>
    <x v="0"/>
    <x v="0"/>
    <s v="Customer 17"/>
    <x v="9"/>
    <x v="3"/>
    <n v="7"/>
    <n v="464.63"/>
    <n v="10"/>
    <n v="2927.17"/>
    <n v="2371.6799999999998"/>
    <n v="555.49"/>
    <n v="0.18977032423808662"/>
  </r>
  <r>
    <s v="ORD0578"/>
    <s v="2025-04-16"/>
    <x v="0"/>
    <s v="Q2"/>
    <x v="0"/>
    <x v="4"/>
    <s v="Customer 33"/>
    <x v="7"/>
    <x v="2"/>
    <n v="6"/>
    <n v="7850.98"/>
    <n v="10"/>
    <n v="42395.29"/>
    <n v="24927.72"/>
    <n v="17467.57"/>
    <n v="0.41201675940888716"/>
  </r>
  <r>
    <s v="ORD0689"/>
    <s v="2025-04-21"/>
    <x v="0"/>
    <s v="Q2"/>
    <x v="0"/>
    <x v="4"/>
    <s v="Customer 9"/>
    <x v="2"/>
    <x v="2"/>
    <n v="6"/>
    <n v="4747.78"/>
    <n v="10"/>
    <n v="25638.01"/>
    <n v="15727.49"/>
    <n v="9910.52"/>
    <n v="0.38655574282091321"/>
  </r>
  <r>
    <s v="ORD0744"/>
    <s v="2025-04-03"/>
    <x v="0"/>
    <s v="Q2"/>
    <x v="3"/>
    <x v="2"/>
    <s v="Customer 46"/>
    <x v="1"/>
    <x v="1"/>
    <n v="8"/>
    <n v="26157.62"/>
    <n v="10"/>
    <n v="188334.86"/>
    <n v="126002.28"/>
    <n v="62332.58"/>
    <n v="0.33096676844637263"/>
  </r>
  <r>
    <s v="ORD0848"/>
    <s v="2025-04-22"/>
    <x v="0"/>
    <s v="Q2"/>
    <x v="0"/>
    <x v="5"/>
    <s v="Customer 6"/>
    <x v="8"/>
    <x v="3"/>
    <n v="8"/>
    <n v="1601.43"/>
    <n v="10"/>
    <n v="11530.3"/>
    <n v="9092.15"/>
    <n v="2438.15"/>
    <n v="0.2114559031421559"/>
  </r>
  <r>
    <s v="ORD0893"/>
    <s v="2025-04-03"/>
    <x v="0"/>
    <s v="Q2"/>
    <x v="0"/>
    <x v="2"/>
    <s v="Customer 43"/>
    <x v="2"/>
    <x v="2"/>
    <n v="5"/>
    <n v="4189.22"/>
    <n v="10"/>
    <n v="18851.490000000002"/>
    <n v="12230.77"/>
    <n v="6620.72"/>
    <n v="0.35120406928046533"/>
  </r>
  <r>
    <s v="ORD0929"/>
    <s v="2025-04-09"/>
    <x v="0"/>
    <s v="Q2"/>
    <x v="0"/>
    <x v="2"/>
    <s v="Customer 14"/>
    <x v="4"/>
    <x v="1"/>
    <n v="4"/>
    <n v="2600.36"/>
    <n v="10"/>
    <n v="9361.2999999999993"/>
    <n v="6326.27"/>
    <n v="3035.03"/>
    <n v="0.32421031267024886"/>
  </r>
  <r>
    <s v="ORD0931"/>
    <s v="2025-04-23"/>
    <x v="0"/>
    <s v="Q2"/>
    <x v="3"/>
    <x v="1"/>
    <s v="Customer 35"/>
    <x v="7"/>
    <x v="2"/>
    <n v="3"/>
    <n v="7795.47"/>
    <n v="10"/>
    <n v="21047.77"/>
    <n v="13433.42"/>
    <n v="7614.35"/>
    <n v="0.36176516562087102"/>
  </r>
  <r>
    <s v="ORD0022"/>
    <s v="2025-08-03"/>
    <x v="1"/>
    <s v="Q3"/>
    <x v="0"/>
    <x v="0"/>
    <s v="Customer 22"/>
    <x v="3"/>
    <x v="0"/>
    <n v="2"/>
    <n v="124.88"/>
    <n v="10"/>
    <n v="224.78"/>
    <n v="144.96"/>
    <n v="79.819999999999993"/>
    <n v="0.35510276715010231"/>
  </r>
  <r>
    <s v="ORD0086"/>
    <s v="2025-08-04"/>
    <x v="1"/>
    <s v="Q3"/>
    <x v="3"/>
    <x v="5"/>
    <s v="Customer 9"/>
    <x v="0"/>
    <x v="0"/>
    <n v="4"/>
    <n v="30.67"/>
    <n v="10"/>
    <n v="110.41"/>
    <n v="87.31"/>
    <n v="23.1"/>
    <n v="0.2092201793315823"/>
  </r>
  <r>
    <s v="ORD0114"/>
    <s v="2025-08-17"/>
    <x v="1"/>
    <s v="Q3"/>
    <x v="2"/>
    <x v="2"/>
    <s v="Customer 39"/>
    <x v="7"/>
    <x v="2"/>
    <n v="5"/>
    <n v="7538.97"/>
    <n v="10"/>
    <n v="33925.360000000001"/>
    <n v="27626.94"/>
    <n v="6298.42"/>
    <n v="0.18565521485991601"/>
  </r>
  <r>
    <s v="ORD0117"/>
    <s v="2025-08-08"/>
    <x v="1"/>
    <s v="Q3"/>
    <x v="2"/>
    <x v="5"/>
    <s v="Customer 29"/>
    <x v="3"/>
    <x v="0"/>
    <n v="1"/>
    <n v="129.83000000000001"/>
    <n v="10"/>
    <n v="116.85"/>
    <n v="96.06"/>
    <n v="20.79"/>
    <n v="0.17792041078305521"/>
  </r>
  <r>
    <s v="ORD0191"/>
    <s v="2025-08-04"/>
    <x v="1"/>
    <s v="Q3"/>
    <x v="0"/>
    <x v="5"/>
    <s v="Customer 28"/>
    <x v="2"/>
    <x v="2"/>
    <n v="4"/>
    <n v="4774.28"/>
    <n v="10"/>
    <n v="17187.41"/>
    <n v="9829.76"/>
    <n v="7357.65"/>
    <n v="0.42808369614735436"/>
  </r>
  <r>
    <s v="ORD0430"/>
    <s v="2025-08-23"/>
    <x v="1"/>
    <s v="Q3"/>
    <x v="3"/>
    <x v="5"/>
    <s v="Customer 17"/>
    <x v="6"/>
    <x v="1"/>
    <n v="2"/>
    <n v="54059.58"/>
    <n v="10"/>
    <n v="97307.24"/>
    <n v="72398.27"/>
    <n v="24908.97"/>
    <n v="0.25598269974567156"/>
  </r>
  <r>
    <s v="ORD0502"/>
    <s v="2025-08-05"/>
    <x v="1"/>
    <s v="Q3"/>
    <x v="0"/>
    <x v="2"/>
    <s v="Customer 36"/>
    <x v="8"/>
    <x v="3"/>
    <n v="7"/>
    <n v="1365.16"/>
    <n v="10"/>
    <n v="8600.51"/>
    <n v="5757.73"/>
    <n v="2842.78"/>
    <n v="0.33053621238740494"/>
  </r>
  <r>
    <s v="ORD0545"/>
    <s v="2025-08-31"/>
    <x v="1"/>
    <s v="Q3"/>
    <x v="2"/>
    <x v="3"/>
    <s v="Customer 33"/>
    <x v="2"/>
    <x v="2"/>
    <n v="8"/>
    <n v="4185.8500000000004"/>
    <n v="10"/>
    <n v="30138.12"/>
    <n v="16611.060000000001"/>
    <n v="13527.06"/>
    <n v="0.44883556107680239"/>
  </r>
  <r>
    <s v="ORD0611"/>
    <s v="2025-08-14"/>
    <x v="1"/>
    <s v="Q3"/>
    <x v="2"/>
    <x v="4"/>
    <s v="Customer 19"/>
    <x v="2"/>
    <x v="2"/>
    <n v="2"/>
    <n v="4066.14"/>
    <n v="10"/>
    <n v="7319.05"/>
    <n v="5950.23"/>
    <n v="1368.82"/>
    <n v="0.18702153968069626"/>
  </r>
  <r>
    <s v="ORD0634"/>
    <s v="2025-08-06"/>
    <x v="1"/>
    <s v="Q3"/>
    <x v="0"/>
    <x v="4"/>
    <s v="Customer 28"/>
    <x v="8"/>
    <x v="3"/>
    <n v="1"/>
    <n v="1581.43"/>
    <n v="10"/>
    <n v="1423.29"/>
    <n v="891.98"/>
    <n v="531.30999999999995"/>
    <n v="0.37329707930218015"/>
  </r>
  <r>
    <s v="ORD0786"/>
    <s v="2025-08-09"/>
    <x v="1"/>
    <s v="Q3"/>
    <x v="0"/>
    <x v="0"/>
    <s v="Customer 25"/>
    <x v="2"/>
    <x v="2"/>
    <n v="8"/>
    <n v="4565.5600000000004"/>
    <n v="10"/>
    <n v="32872.03"/>
    <n v="22468.77"/>
    <n v="10403.26"/>
    <n v="0.31647756466515758"/>
  </r>
  <r>
    <s v="ORD0801"/>
    <s v="2025-08-01"/>
    <x v="1"/>
    <s v="Q3"/>
    <x v="2"/>
    <x v="3"/>
    <s v="Customer 28"/>
    <x v="6"/>
    <x v="1"/>
    <n v="2"/>
    <n v="60263.519999999997"/>
    <n v="10"/>
    <n v="108474.34"/>
    <n v="64171.86"/>
    <n v="44302.48"/>
    <n v="0.40841437707756512"/>
  </r>
  <r>
    <s v="ORD0851"/>
    <s v="2025-08-03"/>
    <x v="1"/>
    <s v="Q3"/>
    <x v="1"/>
    <x v="5"/>
    <s v="Customer 24"/>
    <x v="8"/>
    <x v="3"/>
    <n v="7"/>
    <n v="1597.35"/>
    <n v="10"/>
    <n v="10063.299999999999"/>
    <n v="6996.52"/>
    <n v="3066.78"/>
    <n v="0.30474893921477053"/>
  </r>
  <r>
    <s v="ORD0980"/>
    <s v="2025-08-26"/>
    <x v="1"/>
    <s v="Q3"/>
    <x v="1"/>
    <x v="0"/>
    <s v="Customer 35"/>
    <x v="1"/>
    <x v="1"/>
    <n v="4"/>
    <n v="23713.9"/>
    <n v="10"/>
    <n v="85370.04"/>
    <n v="65362.63"/>
    <n v="20007.41"/>
    <n v="0.23436102407823636"/>
  </r>
  <r>
    <s v="ORD0994"/>
    <s v="2025-08-19"/>
    <x v="1"/>
    <s v="Q3"/>
    <x v="1"/>
    <x v="5"/>
    <s v="Customer 49"/>
    <x v="9"/>
    <x v="3"/>
    <n v="6"/>
    <n v="545.97"/>
    <n v="10"/>
    <n v="2948.24"/>
    <n v="1890.87"/>
    <n v="1057.3699999999999"/>
    <n v="0.35864447941822919"/>
  </r>
  <r>
    <s v="ORD0080"/>
    <s v="2025-12-24"/>
    <x v="2"/>
    <s v="Q4"/>
    <x v="3"/>
    <x v="2"/>
    <s v="Customer 45"/>
    <x v="8"/>
    <x v="3"/>
    <n v="4"/>
    <n v="1597.13"/>
    <n v="10"/>
    <n v="5749.67"/>
    <n v="3220.14"/>
    <n v="2529.5300000000002"/>
    <n v="0.4399435098014321"/>
  </r>
  <r>
    <s v="ORD0188"/>
    <s v="2025-12-20"/>
    <x v="2"/>
    <s v="Q4"/>
    <x v="0"/>
    <x v="0"/>
    <s v="Customer 42"/>
    <x v="5"/>
    <x v="1"/>
    <n v="6"/>
    <n v="884.34"/>
    <n v="10"/>
    <n v="4775.4399999999996"/>
    <n v="2923.91"/>
    <n v="1851.53"/>
    <n v="0.38771924681285913"/>
  </r>
  <r>
    <s v="ORD0283"/>
    <s v="2025-12-02"/>
    <x v="2"/>
    <s v="Q4"/>
    <x v="3"/>
    <x v="2"/>
    <s v="Customer 12"/>
    <x v="8"/>
    <x v="3"/>
    <n v="4"/>
    <n v="1584.06"/>
    <n v="10"/>
    <n v="5702.62"/>
    <n v="4210.88"/>
    <n v="1491.74"/>
    <n v="0.26158853299009932"/>
  </r>
  <r>
    <s v="ORD0309"/>
    <s v="2025-12-18"/>
    <x v="2"/>
    <s v="Q4"/>
    <x v="0"/>
    <x v="2"/>
    <s v="Customer 36"/>
    <x v="6"/>
    <x v="1"/>
    <n v="1"/>
    <n v="56430.87"/>
    <n v="10"/>
    <n v="50787.78"/>
    <n v="31857.37"/>
    <n v="18930.41"/>
    <n v="0.37273552811325877"/>
  </r>
  <r>
    <s v="ORD0458"/>
    <s v="2025-12-07"/>
    <x v="2"/>
    <s v="Q4"/>
    <x v="1"/>
    <x v="1"/>
    <s v="Customer 39"/>
    <x v="7"/>
    <x v="2"/>
    <n v="8"/>
    <n v="8387.8700000000008"/>
    <n v="10"/>
    <n v="60392.66"/>
    <n v="36787.75"/>
    <n v="23604.91"/>
    <n v="0.39085726642939717"/>
  </r>
  <r>
    <s v="ORD0464"/>
    <s v="2025-12-30"/>
    <x v="2"/>
    <s v="Q4"/>
    <x v="1"/>
    <x v="5"/>
    <s v="Customer 35"/>
    <x v="7"/>
    <x v="2"/>
    <n v="4"/>
    <n v="8218.25"/>
    <n v="10"/>
    <n v="29585.7"/>
    <n v="20916.55"/>
    <n v="8669.15"/>
    <n v="0.29301824868095055"/>
  </r>
  <r>
    <s v="ORD0468"/>
    <s v="2025-12-05"/>
    <x v="2"/>
    <s v="Q4"/>
    <x v="2"/>
    <x v="3"/>
    <s v="Customer 15"/>
    <x v="9"/>
    <x v="3"/>
    <n v="8"/>
    <n v="463.52"/>
    <n v="10"/>
    <n v="3337.34"/>
    <n v="2326.92"/>
    <n v="1010.42"/>
    <n v="0.30276207997986415"/>
  </r>
  <r>
    <s v="ORD0503"/>
    <s v="2025-12-01"/>
    <x v="2"/>
    <s v="Q4"/>
    <x v="1"/>
    <x v="5"/>
    <s v="Customer 24"/>
    <x v="0"/>
    <x v="0"/>
    <n v="3"/>
    <n v="30.93"/>
    <n v="10"/>
    <n v="83.51"/>
    <n v="58.22"/>
    <n v="25.29"/>
    <n v="0.30283798347503288"/>
  </r>
  <r>
    <s v="ORD0587"/>
    <s v="2025-12-06"/>
    <x v="2"/>
    <s v="Q4"/>
    <x v="1"/>
    <x v="3"/>
    <s v="Customer 8"/>
    <x v="6"/>
    <x v="1"/>
    <n v="2"/>
    <n v="57971.28"/>
    <n v="10"/>
    <n v="104348.3"/>
    <n v="72894.75"/>
    <n v="31453.55"/>
    <n v="0.30142848517896315"/>
  </r>
  <r>
    <s v="ORD0823"/>
    <s v="2025-12-11"/>
    <x v="2"/>
    <s v="Q4"/>
    <x v="0"/>
    <x v="2"/>
    <s v="Customer 42"/>
    <x v="9"/>
    <x v="3"/>
    <n v="3"/>
    <n v="506.26"/>
    <n v="10"/>
    <n v="1366.9"/>
    <n v="1068.3399999999999"/>
    <n v="298.56"/>
    <n v="0.2184212451532665"/>
  </r>
  <r>
    <s v="ORD0892"/>
    <s v="2025-12-15"/>
    <x v="2"/>
    <s v="Q4"/>
    <x v="3"/>
    <x v="5"/>
    <s v="Customer 3"/>
    <x v="2"/>
    <x v="2"/>
    <n v="1"/>
    <n v="4286.3"/>
    <n v="10"/>
    <n v="3857.67"/>
    <n v="2414.42"/>
    <n v="1443.25"/>
    <n v="0.37412479553720251"/>
  </r>
  <r>
    <s v="ORD0966"/>
    <s v="2025-12-29"/>
    <x v="2"/>
    <s v="Q4"/>
    <x v="1"/>
    <x v="5"/>
    <s v="Customer 10"/>
    <x v="2"/>
    <x v="2"/>
    <n v="8"/>
    <n v="4451.25"/>
    <n v="10"/>
    <n v="32049"/>
    <n v="20311.52"/>
    <n v="11737.48"/>
    <n v="0.36623545196417984"/>
  </r>
  <r>
    <s v="ORD0969"/>
    <s v="2025-12-30"/>
    <x v="2"/>
    <s v="Q4"/>
    <x v="3"/>
    <x v="5"/>
    <s v="Customer 39"/>
    <x v="1"/>
    <x v="1"/>
    <n v="1"/>
    <n v="23980.9"/>
    <n v="10"/>
    <n v="21582.81"/>
    <n v="16994.27"/>
    <n v="4588.54"/>
    <n v="0.21260160284967525"/>
  </r>
  <r>
    <s v="ORD0983"/>
    <s v="2025-12-05"/>
    <x v="2"/>
    <s v="Q4"/>
    <x v="0"/>
    <x v="3"/>
    <s v="Customer 28"/>
    <x v="0"/>
    <x v="0"/>
    <n v="6"/>
    <n v="31.47"/>
    <n v="10"/>
    <n v="169.94"/>
    <n v="124.8"/>
    <n v="45.14"/>
    <n v="0.2656231611156879"/>
  </r>
  <r>
    <s v="ORD0015"/>
    <s v="2025-02-04"/>
    <x v="3"/>
    <s v="Q1"/>
    <x v="3"/>
    <x v="5"/>
    <s v="Customer 28"/>
    <x v="4"/>
    <x v="1"/>
    <n v="4"/>
    <n v="2743.08"/>
    <n v="10"/>
    <n v="9875.09"/>
    <n v="7235.43"/>
    <n v="2639.66"/>
    <n v="0.26730490557554409"/>
  </r>
  <r>
    <s v="ORD0017"/>
    <s v="2025-02-19"/>
    <x v="3"/>
    <s v="Q1"/>
    <x v="2"/>
    <x v="1"/>
    <s v="Customer 30"/>
    <x v="1"/>
    <x v="1"/>
    <n v="1"/>
    <n v="27334.37"/>
    <n v="10"/>
    <n v="24600.93"/>
    <n v="15701.26"/>
    <n v="8899.67"/>
    <n v="0.36176152690162527"/>
  </r>
  <r>
    <s v="ORD0118"/>
    <s v="2025-02-14"/>
    <x v="3"/>
    <s v="Q1"/>
    <x v="3"/>
    <x v="0"/>
    <s v="Customer 13"/>
    <x v="5"/>
    <x v="1"/>
    <n v="4"/>
    <n v="860.61"/>
    <n v="10"/>
    <n v="3098.2"/>
    <n v="1723.48"/>
    <n v="1374.72"/>
    <n v="0.44371570589374482"/>
  </r>
  <r>
    <s v="ORD0373"/>
    <s v="2025-02-26"/>
    <x v="3"/>
    <s v="Q1"/>
    <x v="0"/>
    <x v="5"/>
    <s v="Customer 33"/>
    <x v="8"/>
    <x v="3"/>
    <n v="2"/>
    <n v="1357.56"/>
    <n v="10"/>
    <n v="2443.61"/>
    <n v="1796.68"/>
    <n v="646.92999999999995"/>
    <n v="0.26474355564103924"/>
  </r>
  <r>
    <s v="ORD0392"/>
    <s v="2025-02-16"/>
    <x v="3"/>
    <s v="Q1"/>
    <x v="0"/>
    <x v="3"/>
    <s v="Customer 46"/>
    <x v="1"/>
    <x v="1"/>
    <n v="6"/>
    <n v="25805.13"/>
    <n v="10"/>
    <n v="139347.70000000001"/>
    <n v="93960.58"/>
    <n v="45387.12"/>
    <n v="0.32571129627543188"/>
  </r>
  <r>
    <s v="ORD0497"/>
    <s v="2025-02-04"/>
    <x v="3"/>
    <s v="Q1"/>
    <x v="2"/>
    <x v="1"/>
    <s v="Customer 7"/>
    <x v="9"/>
    <x v="3"/>
    <n v="7"/>
    <n v="498.12"/>
    <n v="10"/>
    <n v="3138.16"/>
    <n v="2412.7399999999998"/>
    <n v="725.42"/>
    <n v="0.23116093507023225"/>
  </r>
  <r>
    <s v="ORD0525"/>
    <s v="2025-02-15"/>
    <x v="3"/>
    <s v="Q1"/>
    <x v="1"/>
    <x v="4"/>
    <s v="Customer 3"/>
    <x v="7"/>
    <x v="2"/>
    <n v="5"/>
    <n v="8346.19"/>
    <n v="10"/>
    <n v="37557.86"/>
    <n v="23171.919999999998"/>
    <n v="14385.94"/>
    <n v="0.3830340706312873"/>
  </r>
  <r>
    <s v="ORD0555"/>
    <s v="2025-02-18"/>
    <x v="3"/>
    <s v="Q1"/>
    <x v="3"/>
    <x v="5"/>
    <s v="Customer 22"/>
    <x v="7"/>
    <x v="2"/>
    <n v="4"/>
    <n v="7468.63"/>
    <n v="10"/>
    <n v="26887.07"/>
    <n v="17266.66"/>
    <n v="9620.41"/>
    <n v="0.35780804676746109"/>
  </r>
  <r>
    <s v="ORD0563"/>
    <s v="2025-02-19"/>
    <x v="3"/>
    <s v="Q1"/>
    <x v="3"/>
    <x v="4"/>
    <s v="Customer 9"/>
    <x v="7"/>
    <x v="2"/>
    <n v="5"/>
    <n v="7288.03"/>
    <n v="10"/>
    <n v="32796.14"/>
    <n v="20602.86"/>
    <n v="12193.28"/>
    <n v="0.37179009480993802"/>
  </r>
  <r>
    <s v="ORD0582"/>
    <s v="2025-02-06"/>
    <x v="3"/>
    <s v="Q1"/>
    <x v="2"/>
    <x v="2"/>
    <s v="Customer 8"/>
    <x v="0"/>
    <x v="0"/>
    <n v="2"/>
    <n v="27.11"/>
    <n v="10"/>
    <n v="48.8"/>
    <n v="35.33"/>
    <n v="13.47"/>
    <n v="0.27602459016393444"/>
  </r>
  <r>
    <s v="ORD0668"/>
    <s v="2025-02-15"/>
    <x v="3"/>
    <s v="Q1"/>
    <x v="3"/>
    <x v="2"/>
    <s v="Customer 7"/>
    <x v="7"/>
    <x v="2"/>
    <n v="6"/>
    <n v="7393.4"/>
    <n v="10"/>
    <n v="39924.36"/>
    <n v="23407.19"/>
    <n v="16517.169999999998"/>
    <n v="0.41371157859512331"/>
  </r>
  <r>
    <s v="ORD0736"/>
    <s v="2025-02-11"/>
    <x v="3"/>
    <s v="Q1"/>
    <x v="3"/>
    <x v="5"/>
    <s v="Customer 21"/>
    <x v="5"/>
    <x v="1"/>
    <n v="7"/>
    <n v="918.7"/>
    <n v="10"/>
    <n v="5787.81"/>
    <n v="4270.41"/>
    <n v="1517.4"/>
    <n v="0.26217170225007386"/>
  </r>
  <r>
    <s v="ORD0777"/>
    <s v="2025-02-03"/>
    <x v="3"/>
    <s v="Q1"/>
    <x v="2"/>
    <x v="5"/>
    <s v="Customer 21"/>
    <x v="5"/>
    <x v="1"/>
    <n v="3"/>
    <n v="987.47"/>
    <n v="10"/>
    <n v="2666.17"/>
    <n v="2076.8200000000002"/>
    <n v="589.35"/>
    <n v="0.22104742008199027"/>
  </r>
  <r>
    <s v="ORD0789"/>
    <s v="2025-02-04"/>
    <x v="3"/>
    <s v="Q1"/>
    <x v="1"/>
    <x v="1"/>
    <s v="Customer 6"/>
    <x v="0"/>
    <x v="0"/>
    <n v="1"/>
    <n v="27.54"/>
    <n v="10"/>
    <n v="24.79"/>
    <n v="17.09"/>
    <n v="7.7"/>
    <n v="0.31060911657926588"/>
  </r>
  <r>
    <s v="ORD0912"/>
    <s v="2025-02-16"/>
    <x v="3"/>
    <s v="Q1"/>
    <x v="3"/>
    <x v="5"/>
    <s v="Customer 6"/>
    <x v="6"/>
    <x v="1"/>
    <n v="2"/>
    <n v="54716.59"/>
    <n v="10"/>
    <n v="98489.86"/>
    <n v="57884.06"/>
    <n v="40605.800000000003"/>
    <n v="0.41228406660340466"/>
  </r>
  <r>
    <s v="ORD0043"/>
    <s v="2025-01-21"/>
    <x v="4"/>
    <s v="Q1"/>
    <x v="0"/>
    <x v="5"/>
    <s v="Customer 45"/>
    <x v="8"/>
    <x v="3"/>
    <n v="4"/>
    <n v="1376.65"/>
    <n v="10"/>
    <n v="4955.9399999999996"/>
    <n v="3813.36"/>
    <n v="1142.58"/>
    <n v="0.23054758532185621"/>
  </r>
  <r>
    <s v="ORD0131"/>
    <s v="2025-01-18"/>
    <x v="4"/>
    <s v="Q1"/>
    <x v="3"/>
    <x v="3"/>
    <s v="Customer 49"/>
    <x v="6"/>
    <x v="1"/>
    <n v="1"/>
    <n v="58022.61"/>
    <n v="10"/>
    <n v="52220.35"/>
    <n v="39691.699999999997"/>
    <n v="12528.65"/>
    <n v="0.23991892049746891"/>
  </r>
  <r>
    <s v="ORD0136"/>
    <s v="2025-01-16"/>
    <x v="4"/>
    <s v="Q1"/>
    <x v="1"/>
    <x v="5"/>
    <s v="Customer 29"/>
    <x v="7"/>
    <x v="2"/>
    <n v="5"/>
    <n v="7349.13"/>
    <n v="10"/>
    <n v="33071.08"/>
    <n v="20996.69"/>
    <n v="12074.39"/>
    <n v="0.36510419375478509"/>
  </r>
  <r>
    <s v="ORD0169"/>
    <s v="2025-01-15"/>
    <x v="4"/>
    <s v="Q1"/>
    <x v="0"/>
    <x v="4"/>
    <s v="Customer 22"/>
    <x v="0"/>
    <x v="0"/>
    <n v="3"/>
    <n v="28.96"/>
    <n v="10"/>
    <n v="78.19"/>
    <n v="64.87"/>
    <n v="13.32"/>
    <n v="0.17035426525131092"/>
  </r>
  <r>
    <s v="ORD0199"/>
    <s v="2025-01-25"/>
    <x v="4"/>
    <s v="Q1"/>
    <x v="3"/>
    <x v="2"/>
    <s v="Customer 13"/>
    <x v="2"/>
    <x v="2"/>
    <n v="3"/>
    <n v="4507.9399999999996"/>
    <n v="10"/>
    <n v="12171.44"/>
    <n v="8427.91"/>
    <n v="3743.53"/>
    <n v="0.30756672998429108"/>
  </r>
  <r>
    <s v="ORD0297"/>
    <s v="2025-01-01"/>
    <x v="4"/>
    <s v="Q1"/>
    <x v="2"/>
    <x v="0"/>
    <s v="Customer 40"/>
    <x v="4"/>
    <x v="1"/>
    <n v="6"/>
    <n v="2340.2600000000002"/>
    <n v="10"/>
    <n v="12637.4"/>
    <n v="7042.83"/>
    <n v="5594.57"/>
    <n v="0.44269944767119818"/>
  </r>
  <r>
    <s v="ORD0441"/>
    <s v="2025-01-13"/>
    <x v="4"/>
    <s v="Q1"/>
    <x v="2"/>
    <x v="5"/>
    <s v="Customer 43"/>
    <x v="8"/>
    <x v="3"/>
    <n v="8"/>
    <n v="1527.36"/>
    <n v="10"/>
    <n v="10996.99"/>
    <n v="7702.13"/>
    <n v="3294.86"/>
    <n v="0.29961471275321705"/>
  </r>
  <r>
    <s v="ORD0457"/>
    <s v="2025-01-21"/>
    <x v="4"/>
    <s v="Q1"/>
    <x v="2"/>
    <x v="3"/>
    <s v="Customer 2"/>
    <x v="8"/>
    <x v="3"/>
    <n v="7"/>
    <n v="1438.14"/>
    <n v="10"/>
    <n v="9060.2800000000007"/>
    <n v="6926.63"/>
    <n v="2133.65"/>
    <n v="0.23549492951652706"/>
  </r>
  <r>
    <s v="ORD0628"/>
    <s v="2025-01-06"/>
    <x v="4"/>
    <s v="Q1"/>
    <x v="2"/>
    <x v="4"/>
    <s v="Customer 4"/>
    <x v="5"/>
    <x v="1"/>
    <n v="7"/>
    <n v="870.76"/>
    <n v="10"/>
    <n v="5485.79"/>
    <n v="3365.98"/>
    <n v="2119.81"/>
    <n v="0.38641836453819778"/>
  </r>
  <r>
    <s v="ORD0672"/>
    <s v="2025-01-06"/>
    <x v="4"/>
    <s v="Q1"/>
    <x v="3"/>
    <x v="0"/>
    <s v="Customer 2"/>
    <x v="4"/>
    <x v="1"/>
    <n v="4"/>
    <n v="2665.52"/>
    <n v="10"/>
    <n v="9595.8700000000008"/>
    <n v="6621.5"/>
    <n v="2974.37"/>
    <n v="0.30996355723868702"/>
  </r>
  <r>
    <s v="ORD0710"/>
    <s v="2025-01-30"/>
    <x v="4"/>
    <s v="Q1"/>
    <x v="3"/>
    <x v="5"/>
    <s v="Customer 34"/>
    <x v="4"/>
    <x v="1"/>
    <n v="8"/>
    <n v="2504.2399999999998"/>
    <n v="10"/>
    <n v="18030.53"/>
    <n v="15183.74"/>
    <n v="2846.79"/>
    <n v="0.15788720575601495"/>
  </r>
  <r>
    <s v="ORD0722"/>
    <s v="2025-01-16"/>
    <x v="4"/>
    <s v="Q1"/>
    <x v="2"/>
    <x v="0"/>
    <s v="Customer 18"/>
    <x v="6"/>
    <x v="1"/>
    <n v="7"/>
    <n v="58419.65"/>
    <n v="10"/>
    <n v="368043.79"/>
    <n v="266591.76"/>
    <n v="101452.03"/>
    <n v="0.2756520630330429"/>
  </r>
  <r>
    <s v="ORD0766"/>
    <s v="2025-01-18"/>
    <x v="4"/>
    <s v="Q1"/>
    <x v="0"/>
    <x v="1"/>
    <s v="Customer 19"/>
    <x v="9"/>
    <x v="3"/>
    <n v="1"/>
    <n v="546.69000000000005"/>
    <n v="10"/>
    <n v="492.02"/>
    <n v="349.95"/>
    <n v="142.07"/>
    <n v="0.28874842486077801"/>
  </r>
  <r>
    <s v="ORD0834"/>
    <s v="2025-01-20"/>
    <x v="4"/>
    <s v="Q1"/>
    <x v="1"/>
    <x v="3"/>
    <s v="Customer 24"/>
    <x v="7"/>
    <x v="2"/>
    <n v="4"/>
    <n v="8630.81"/>
    <n v="10"/>
    <n v="31070.92"/>
    <n v="20845.43"/>
    <n v="10225.49"/>
    <n v="0.32910161655979292"/>
  </r>
  <r>
    <s v="ORD0835"/>
    <s v="2025-01-02"/>
    <x v="4"/>
    <s v="Q1"/>
    <x v="2"/>
    <x v="4"/>
    <s v="Customer 14"/>
    <x v="7"/>
    <x v="2"/>
    <n v="2"/>
    <n v="8147.39"/>
    <n v="10"/>
    <n v="14665.3"/>
    <n v="8999.9599999999991"/>
    <n v="5665.34"/>
    <n v="0.38630917880984367"/>
  </r>
  <r>
    <s v="ORD0862"/>
    <s v="2025-01-27"/>
    <x v="4"/>
    <s v="Q1"/>
    <x v="3"/>
    <x v="5"/>
    <s v="Customer 45"/>
    <x v="0"/>
    <x v="0"/>
    <n v="2"/>
    <n v="29.51"/>
    <n v="10"/>
    <n v="53.12"/>
    <n v="43.71"/>
    <n v="9.41"/>
    <n v="0.17714608433734941"/>
  </r>
  <r>
    <s v="ORD0894"/>
    <s v="2025-01-01"/>
    <x v="4"/>
    <s v="Q1"/>
    <x v="2"/>
    <x v="0"/>
    <s v="Customer 45"/>
    <x v="8"/>
    <x v="3"/>
    <n v="8"/>
    <n v="1358.28"/>
    <n v="10"/>
    <n v="9779.6200000000008"/>
    <n v="7245.09"/>
    <n v="2534.5300000000002"/>
    <n v="0.25916446651301378"/>
  </r>
  <r>
    <s v="ORD0202"/>
    <s v="2025-07-29"/>
    <x v="5"/>
    <s v="Q3"/>
    <x v="2"/>
    <x v="0"/>
    <s v="Customer 15"/>
    <x v="0"/>
    <x v="0"/>
    <n v="2"/>
    <n v="29.77"/>
    <n v="10"/>
    <n v="53.59"/>
    <n v="40.65"/>
    <n v="12.94"/>
    <n v="0.24146295950737076"/>
  </r>
  <r>
    <s v="ORD0348"/>
    <s v="2025-07-14"/>
    <x v="5"/>
    <s v="Q3"/>
    <x v="3"/>
    <x v="1"/>
    <s v="Customer 35"/>
    <x v="0"/>
    <x v="0"/>
    <n v="7"/>
    <n v="32.89"/>
    <n v="10"/>
    <n v="207.21"/>
    <n v="150.61000000000001"/>
    <n v="56.6"/>
    <n v="0.27315284011389412"/>
  </r>
  <r>
    <s v="ORD0526"/>
    <s v="2025-07-28"/>
    <x v="5"/>
    <s v="Q3"/>
    <x v="2"/>
    <x v="3"/>
    <s v="Customer 5"/>
    <x v="1"/>
    <x v="1"/>
    <n v="4"/>
    <n v="24875.56"/>
    <n v="10"/>
    <n v="89552.02"/>
    <n v="50450.49"/>
    <n v="39101.53"/>
    <n v="0.43663481851107322"/>
  </r>
  <r>
    <s v="ORD0552"/>
    <s v="2025-07-27"/>
    <x v="5"/>
    <s v="Q3"/>
    <x v="3"/>
    <x v="1"/>
    <s v="Customer 16"/>
    <x v="0"/>
    <x v="0"/>
    <n v="8"/>
    <n v="29.58"/>
    <n v="10"/>
    <n v="212.98"/>
    <n v="143.88999999999999"/>
    <n v="69.09"/>
    <n v="0.32439665696309516"/>
  </r>
  <r>
    <s v="ORD0586"/>
    <s v="2025-07-01"/>
    <x v="5"/>
    <s v="Q3"/>
    <x v="2"/>
    <x v="4"/>
    <s v="Customer 41"/>
    <x v="3"/>
    <x v="0"/>
    <n v="8"/>
    <n v="131.44"/>
    <n v="10"/>
    <n v="946.37"/>
    <n v="543.54"/>
    <n v="402.83"/>
    <n v="0.42565804072402968"/>
  </r>
  <r>
    <s v="ORD0694"/>
    <s v="2025-07-19"/>
    <x v="5"/>
    <s v="Q3"/>
    <x v="1"/>
    <x v="0"/>
    <s v="Customer 22"/>
    <x v="4"/>
    <x v="1"/>
    <n v="5"/>
    <n v="2508.1799999999998"/>
    <n v="10"/>
    <n v="11286.81"/>
    <n v="7302.52"/>
    <n v="3984.29"/>
    <n v="0.35300408175560677"/>
  </r>
  <r>
    <s v="ORD0726"/>
    <s v="2025-07-13"/>
    <x v="5"/>
    <s v="Q3"/>
    <x v="3"/>
    <x v="3"/>
    <s v="Customer 44"/>
    <x v="5"/>
    <x v="1"/>
    <n v="2"/>
    <n v="827.14"/>
    <n v="10"/>
    <n v="1488.85"/>
    <n v="945.89"/>
    <n v="542.96"/>
    <n v="0.36468415219800521"/>
  </r>
  <r>
    <s v="ORD0735"/>
    <s v="2025-07-06"/>
    <x v="5"/>
    <s v="Q3"/>
    <x v="0"/>
    <x v="3"/>
    <s v="Customer 11"/>
    <x v="7"/>
    <x v="2"/>
    <n v="6"/>
    <n v="7736.27"/>
    <n v="10"/>
    <n v="41775.86"/>
    <n v="24152.65"/>
    <n v="17623.21"/>
    <n v="0.42185151903515566"/>
  </r>
  <r>
    <s v="ORD0788"/>
    <s v="2025-07-20"/>
    <x v="5"/>
    <s v="Q3"/>
    <x v="0"/>
    <x v="0"/>
    <s v="Customer 5"/>
    <x v="0"/>
    <x v="0"/>
    <n v="1"/>
    <n v="32.380000000000003"/>
    <n v="10"/>
    <n v="29.14"/>
    <n v="22.59"/>
    <n v="6.55"/>
    <n v="0.22477693891557995"/>
  </r>
  <r>
    <s v="ORD0826"/>
    <s v="2025-07-31"/>
    <x v="5"/>
    <s v="Q3"/>
    <x v="0"/>
    <x v="0"/>
    <s v="Customer 3"/>
    <x v="8"/>
    <x v="3"/>
    <n v="6"/>
    <n v="1380.03"/>
    <n v="10"/>
    <n v="7452.16"/>
    <n v="5992.61"/>
    <n v="1459.55"/>
    <n v="0.19585596659223634"/>
  </r>
  <r>
    <s v="ORD0863"/>
    <s v="2025-07-05"/>
    <x v="5"/>
    <s v="Q3"/>
    <x v="3"/>
    <x v="5"/>
    <s v="Customer 12"/>
    <x v="3"/>
    <x v="0"/>
    <n v="4"/>
    <n v="109.99"/>
    <n v="10"/>
    <n v="395.96"/>
    <n v="299.57"/>
    <n v="96.39"/>
    <n v="0.24343368016971412"/>
  </r>
  <r>
    <s v="ORD0906"/>
    <s v="2025-07-07"/>
    <x v="5"/>
    <s v="Q3"/>
    <x v="2"/>
    <x v="4"/>
    <s v="Customer 11"/>
    <x v="2"/>
    <x v="2"/>
    <n v="7"/>
    <n v="4885.82"/>
    <n v="10"/>
    <n v="30780.67"/>
    <n v="21957.01"/>
    <n v="8823.66"/>
    <n v="0.28666237609512724"/>
  </r>
  <r>
    <s v="ORD0915"/>
    <s v="2025-07-04"/>
    <x v="5"/>
    <s v="Q3"/>
    <x v="0"/>
    <x v="5"/>
    <s v="Customer 36"/>
    <x v="3"/>
    <x v="0"/>
    <n v="7"/>
    <n v="117.11"/>
    <n v="10"/>
    <n v="737.79"/>
    <n v="607.27"/>
    <n v="130.52000000000001"/>
    <n v="0.17690670787080337"/>
  </r>
  <r>
    <s v="ORD0933"/>
    <s v="2025-07-09"/>
    <x v="5"/>
    <s v="Q3"/>
    <x v="1"/>
    <x v="4"/>
    <s v="Customer 7"/>
    <x v="6"/>
    <x v="1"/>
    <n v="6"/>
    <n v="54475.13"/>
    <n v="10"/>
    <n v="294165.7"/>
    <n v="236135.41"/>
    <n v="58030.29"/>
    <n v="0.19727075590390042"/>
  </r>
  <r>
    <s v="ORD0154"/>
    <s v="2025-06-27"/>
    <x v="6"/>
    <s v="Q2"/>
    <x v="1"/>
    <x v="2"/>
    <s v="Customer 7"/>
    <x v="2"/>
    <x v="2"/>
    <n v="3"/>
    <n v="4726.1499999999996"/>
    <n v="10"/>
    <n v="12760.6"/>
    <n v="8341.65"/>
    <n v="4418.95"/>
    <n v="0.34629641239440151"/>
  </r>
  <r>
    <s v="ORD0189"/>
    <s v="2025-06-09"/>
    <x v="6"/>
    <s v="Q2"/>
    <x v="3"/>
    <x v="1"/>
    <s v="Customer 34"/>
    <x v="5"/>
    <x v="1"/>
    <n v="5"/>
    <n v="864.37"/>
    <n v="10"/>
    <n v="3889.67"/>
    <n v="3255.15"/>
    <n v="634.52"/>
    <n v="0.16312951998498587"/>
  </r>
  <r>
    <s v="ORD0360"/>
    <s v="2025-06-18"/>
    <x v="6"/>
    <s v="Q2"/>
    <x v="1"/>
    <x v="4"/>
    <s v="Customer 2"/>
    <x v="4"/>
    <x v="1"/>
    <n v="5"/>
    <n v="2732.55"/>
    <n v="10"/>
    <n v="12296.48"/>
    <n v="8998.9699999999993"/>
    <n v="3297.51"/>
    <n v="0.26816698762572705"/>
  </r>
  <r>
    <s v="ORD0571"/>
    <s v="2025-06-27"/>
    <x v="6"/>
    <s v="Q2"/>
    <x v="0"/>
    <x v="2"/>
    <s v="Customer 31"/>
    <x v="1"/>
    <x v="1"/>
    <n v="8"/>
    <n v="22598.83"/>
    <n v="10"/>
    <n v="162711.57999999999"/>
    <n v="94389.47"/>
    <n v="68322.11"/>
    <n v="0.41989703498669245"/>
  </r>
  <r>
    <s v="ORD0583"/>
    <s v="2025-06-04"/>
    <x v="6"/>
    <s v="Q2"/>
    <x v="0"/>
    <x v="4"/>
    <s v="Customer 35"/>
    <x v="5"/>
    <x v="1"/>
    <n v="7"/>
    <n v="986.95"/>
    <n v="10"/>
    <n v="6217.79"/>
    <n v="3888.64"/>
    <n v="2329.15"/>
    <n v="0.3745945102681178"/>
  </r>
  <r>
    <s v="ORD0597"/>
    <s v="2025-06-04"/>
    <x v="6"/>
    <s v="Q2"/>
    <x v="3"/>
    <x v="3"/>
    <s v="Customer 30"/>
    <x v="7"/>
    <x v="2"/>
    <n v="2"/>
    <n v="7613.8"/>
    <n v="10"/>
    <n v="13704.84"/>
    <n v="8745.59"/>
    <n v="4959.25"/>
    <n v="0.36186121107579511"/>
  </r>
  <r>
    <s v="ORD0630"/>
    <s v="2025-06-10"/>
    <x v="6"/>
    <s v="Q2"/>
    <x v="3"/>
    <x v="2"/>
    <s v="Customer 19"/>
    <x v="8"/>
    <x v="3"/>
    <n v="4"/>
    <n v="1353.69"/>
    <n v="10"/>
    <n v="4873.28"/>
    <n v="3606.39"/>
    <n v="1266.8900000000001"/>
    <n v="0.25996659334165084"/>
  </r>
  <r>
    <s v="ORD0711"/>
    <s v="2025-06-26"/>
    <x v="6"/>
    <s v="Q2"/>
    <x v="0"/>
    <x v="5"/>
    <s v="Customer 45"/>
    <x v="4"/>
    <x v="1"/>
    <n v="1"/>
    <n v="2547.83"/>
    <n v="10"/>
    <n v="2293.0500000000002"/>
    <n v="1861.02"/>
    <n v="432.03"/>
    <n v="0.18840845162556419"/>
  </r>
  <r>
    <s v="ORD0716"/>
    <s v="2025-06-09"/>
    <x v="6"/>
    <s v="Q2"/>
    <x v="0"/>
    <x v="3"/>
    <s v="Customer 6"/>
    <x v="1"/>
    <x v="1"/>
    <n v="3"/>
    <n v="26152.89"/>
    <n v="10"/>
    <n v="70612.800000000003"/>
    <n v="49063.67"/>
    <n v="21549.13"/>
    <n v="0.30517314141345481"/>
  </r>
  <r>
    <s v="ORD0732"/>
    <s v="2025-06-21"/>
    <x v="6"/>
    <s v="Q2"/>
    <x v="2"/>
    <x v="0"/>
    <s v="Customer 8"/>
    <x v="8"/>
    <x v="3"/>
    <n v="6"/>
    <n v="1571.59"/>
    <n v="10"/>
    <n v="8486.59"/>
    <n v="5273.12"/>
    <n v="3213.47"/>
    <n v="0.37865267439572309"/>
  </r>
  <r>
    <s v="ORD0868"/>
    <s v="2025-06-28"/>
    <x v="6"/>
    <s v="Q2"/>
    <x v="0"/>
    <x v="2"/>
    <s v="Customer 37"/>
    <x v="9"/>
    <x v="3"/>
    <n v="8"/>
    <n v="512.88"/>
    <n v="10"/>
    <n v="3692.74"/>
    <n v="2521.14"/>
    <n v="1171.5999999999999"/>
    <n v="0.31727118616528649"/>
  </r>
  <r>
    <s v="ORD0885"/>
    <s v="2025-06-25"/>
    <x v="6"/>
    <s v="Q2"/>
    <x v="3"/>
    <x v="3"/>
    <s v="Customer 2"/>
    <x v="0"/>
    <x v="0"/>
    <n v="1"/>
    <n v="27.3"/>
    <n v="10"/>
    <n v="24.57"/>
    <n v="19.850000000000001"/>
    <n v="4.72"/>
    <n v="0.19210419210419208"/>
  </r>
  <r>
    <s v="ORD0157"/>
    <s v="2025-03-12"/>
    <x v="7"/>
    <s v="Q1"/>
    <x v="3"/>
    <x v="4"/>
    <s v="Customer 31"/>
    <x v="1"/>
    <x v="1"/>
    <n v="7"/>
    <n v="27424.21"/>
    <n v="10"/>
    <n v="172772.52"/>
    <n v="138136.39000000001"/>
    <n v="34636.129999999997"/>
    <n v="0.20047244781751172"/>
  </r>
  <r>
    <s v="ORD0170"/>
    <s v="2025-03-18"/>
    <x v="7"/>
    <s v="Q1"/>
    <x v="0"/>
    <x v="4"/>
    <s v="Customer 12"/>
    <x v="2"/>
    <x v="2"/>
    <n v="4"/>
    <n v="4168.75"/>
    <n v="10"/>
    <n v="15007.5"/>
    <n v="8848.24"/>
    <n v="6159.26"/>
    <n v="0.4104121272696985"/>
  </r>
  <r>
    <s v="ORD0379"/>
    <s v="2025-03-06"/>
    <x v="7"/>
    <s v="Q1"/>
    <x v="1"/>
    <x v="2"/>
    <s v="Customer 41"/>
    <x v="6"/>
    <x v="1"/>
    <n v="8"/>
    <n v="60677.440000000002"/>
    <n v="10"/>
    <n v="436877.57"/>
    <n v="307133.44"/>
    <n v="129744.13"/>
    <n v="0.29698052477264969"/>
  </r>
  <r>
    <s v="ORD0391"/>
    <s v="2025-03-24"/>
    <x v="7"/>
    <s v="Q1"/>
    <x v="1"/>
    <x v="3"/>
    <s v="Customer 3"/>
    <x v="7"/>
    <x v="2"/>
    <n v="2"/>
    <n v="7941.58"/>
    <n v="10"/>
    <n v="14294.84"/>
    <n v="9714.24"/>
    <n v="4580.6000000000004"/>
    <n v="0.32043730464978976"/>
  </r>
  <r>
    <s v="ORD0408"/>
    <s v="2025-03-11"/>
    <x v="7"/>
    <s v="Q1"/>
    <x v="1"/>
    <x v="4"/>
    <s v="Customer 47"/>
    <x v="1"/>
    <x v="1"/>
    <n v="3"/>
    <n v="24026.13"/>
    <n v="10"/>
    <n v="64870.55"/>
    <n v="48415.16"/>
    <n v="16455.39"/>
    <n v="0.25366502981707412"/>
  </r>
  <r>
    <s v="ORD0425"/>
    <s v="2025-03-13"/>
    <x v="7"/>
    <s v="Q1"/>
    <x v="2"/>
    <x v="5"/>
    <s v="Customer 16"/>
    <x v="7"/>
    <x v="2"/>
    <n v="6"/>
    <n v="8400.99"/>
    <n v="10"/>
    <n v="45365.35"/>
    <n v="36657.14"/>
    <n v="8708.2099999999991"/>
    <n v="0.19195729780548368"/>
  </r>
  <r>
    <s v="ORD0482"/>
    <s v="2025-03-05"/>
    <x v="7"/>
    <s v="Q1"/>
    <x v="0"/>
    <x v="5"/>
    <s v="Customer 21"/>
    <x v="0"/>
    <x v="0"/>
    <n v="2"/>
    <n v="30.29"/>
    <n v="10"/>
    <n v="54.52"/>
    <n v="30.08"/>
    <n v="24.44"/>
    <n v="0.44827586206896552"/>
  </r>
  <r>
    <s v="ORD0531"/>
    <s v="2025-03-02"/>
    <x v="7"/>
    <s v="Q1"/>
    <x v="1"/>
    <x v="2"/>
    <s v="Customer 44"/>
    <x v="4"/>
    <x v="1"/>
    <n v="8"/>
    <n v="2365.86"/>
    <n v="10"/>
    <n v="17034.189999999999"/>
    <n v="14059.13"/>
    <n v="2975.06"/>
    <n v="0.17465227287003374"/>
  </r>
  <r>
    <s v="ORD0618"/>
    <s v="2025-03-20"/>
    <x v="7"/>
    <s v="Q1"/>
    <x v="0"/>
    <x v="0"/>
    <s v="Customer 41"/>
    <x v="2"/>
    <x v="2"/>
    <n v="8"/>
    <n v="4500.7"/>
    <n v="10"/>
    <n v="32405.040000000001"/>
    <n v="27347.25"/>
    <n v="5057.79"/>
    <n v="0.1560803504640019"/>
  </r>
  <r>
    <s v="ORD0665"/>
    <s v="2025-03-28"/>
    <x v="7"/>
    <s v="Q1"/>
    <x v="3"/>
    <x v="1"/>
    <s v="Customer 15"/>
    <x v="8"/>
    <x v="3"/>
    <n v="1"/>
    <n v="1618.6"/>
    <n v="10"/>
    <n v="1456.74"/>
    <n v="884.68"/>
    <n v="572.05999999999995"/>
    <n v="0.39269876573719398"/>
  </r>
  <r>
    <s v="ORD0737"/>
    <s v="2025-03-05"/>
    <x v="7"/>
    <s v="Q1"/>
    <x v="0"/>
    <x v="5"/>
    <s v="Customer 36"/>
    <x v="2"/>
    <x v="2"/>
    <n v="6"/>
    <n v="4300.8100000000004"/>
    <n v="10"/>
    <n v="23224.37"/>
    <n v="15567.18"/>
    <n v="7657.19"/>
    <n v="0.32970496078042161"/>
  </r>
  <r>
    <s v="ORD0754"/>
    <s v="2025-03-31"/>
    <x v="7"/>
    <s v="Q1"/>
    <x v="0"/>
    <x v="5"/>
    <s v="Customer 15"/>
    <x v="8"/>
    <x v="3"/>
    <n v="7"/>
    <n v="1390.66"/>
    <n v="10"/>
    <n v="8761.16"/>
    <n v="5550.41"/>
    <n v="3210.75"/>
    <n v="0.36647544389099163"/>
  </r>
  <r>
    <s v="ORD0872"/>
    <s v="2025-03-22"/>
    <x v="7"/>
    <s v="Q1"/>
    <x v="2"/>
    <x v="4"/>
    <s v="Customer 19"/>
    <x v="6"/>
    <x v="1"/>
    <n v="7"/>
    <n v="59483.61"/>
    <n v="10"/>
    <n v="374746.74"/>
    <n v="225130.64"/>
    <n v="149616.1"/>
    <n v="0.39924590137862176"/>
  </r>
  <r>
    <s v="ORD0947"/>
    <s v="2025-03-05"/>
    <x v="7"/>
    <s v="Q1"/>
    <x v="0"/>
    <x v="1"/>
    <s v="Customer 21"/>
    <x v="1"/>
    <x v="1"/>
    <n v="1"/>
    <n v="26387.22"/>
    <n v="10"/>
    <n v="23748.5"/>
    <n v="19277.11"/>
    <n v="4471.3900000000003"/>
    <n v="0.18828094405962484"/>
  </r>
  <r>
    <s v="ORD0973"/>
    <s v="2025-03-18"/>
    <x v="7"/>
    <s v="Q1"/>
    <x v="3"/>
    <x v="5"/>
    <s v="Customer 41"/>
    <x v="1"/>
    <x v="1"/>
    <n v="1"/>
    <n v="25475.27"/>
    <n v="10"/>
    <n v="22927.74"/>
    <n v="12791.03"/>
    <n v="10136.709999999999"/>
    <n v="0.44211553341061954"/>
  </r>
  <r>
    <s v="ORD0111"/>
    <s v="2025-05-07"/>
    <x v="8"/>
    <s v="Q2"/>
    <x v="3"/>
    <x v="0"/>
    <s v="Customer 14"/>
    <x v="2"/>
    <x v="2"/>
    <n v="4"/>
    <n v="4727.1400000000003"/>
    <n v="10"/>
    <n v="17017.7"/>
    <n v="12812.63"/>
    <n v="4205.07"/>
    <n v="0.24709978434218488"/>
  </r>
  <r>
    <s v="ORD0152"/>
    <s v="2025-05-09"/>
    <x v="8"/>
    <s v="Q2"/>
    <x v="3"/>
    <x v="5"/>
    <s v="Customer 15"/>
    <x v="8"/>
    <x v="3"/>
    <n v="8"/>
    <n v="1390.69"/>
    <n v="10"/>
    <n v="10012.969999999999"/>
    <n v="7775.99"/>
    <n v="2236.98"/>
    <n v="0.2234082395133512"/>
  </r>
  <r>
    <s v="ORD0184"/>
    <s v="2025-05-23"/>
    <x v="8"/>
    <s v="Q2"/>
    <x v="0"/>
    <x v="4"/>
    <s v="Customer 5"/>
    <x v="8"/>
    <x v="3"/>
    <n v="1"/>
    <n v="1513.83"/>
    <n v="10"/>
    <n v="1362.45"/>
    <n v="785.92"/>
    <n v="576.53"/>
    <n v="0.42315681309405845"/>
  </r>
  <r>
    <s v="ORD0234"/>
    <s v="2025-05-27"/>
    <x v="8"/>
    <s v="Q2"/>
    <x v="0"/>
    <x v="5"/>
    <s v="Customer 11"/>
    <x v="9"/>
    <x v="3"/>
    <n v="4"/>
    <n v="474.94"/>
    <n v="10"/>
    <n v="1709.78"/>
    <n v="1129.4000000000001"/>
    <n v="580.38"/>
    <n v="0.33944718033899096"/>
  </r>
  <r>
    <s v="ORD0249"/>
    <s v="2025-05-13"/>
    <x v="8"/>
    <s v="Q2"/>
    <x v="3"/>
    <x v="2"/>
    <s v="Customer 13"/>
    <x v="9"/>
    <x v="3"/>
    <n v="6"/>
    <n v="464.15"/>
    <n v="10"/>
    <n v="2506.41"/>
    <n v="1619.73"/>
    <n v="886.68"/>
    <n v="0.35376494667672087"/>
  </r>
  <r>
    <s v="ORD0254"/>
    <s v="2025-05-28"/>
    <x v="8"/>
    <s v="Q2"/>
    <x v="1"/>
    <x v="0"/>
    <s v="Customer 11"/>
    <x v="0"/>
    <x v="0"/>
    <n v="7"/>
    <n v="31.51"/>
    <n v="10"/>
    <n v="198.51"/>
    <n v="153.69"/>
    <n v="44.82"/>
    <n v="0.22578207646969928"/>
  </r>
  <r>
    <s v="ORD0293"/>
    <s v="2025-05-16"/>
    <x v="8"/>
    <s v="Q2"/>
    <x v="0"/>
    <x v="5"/>
    <s v="Customer 38"/>
    <x v="5"/>
    <x v="1"/>
    <n v="8"/>
    <n v="852.41"/>
    <n v="10"/>
    <n v="6137.35"/>
    <n v="4841.91"/>
    <n v="1295.44"/>
    <n v="0.21107481241904077"/>
  </r>
  <r>
    <s v="ORD0317"/>
    <s v="2025-05-23"/>
    <x v="8"/>
    <s v="Q2"/>
    <x v="1"/>
    <x v="4"/>
    <s v="Customer 46"/>
    <x v="5"/>
    <x v="1"/>
    <n v="8"/>
    <n v="852.23"/>
    <n v="10"/>
    <n v="6136.06"/>
    <n v="4169.59"/>
    <n v="1966.47"/>
    <n v="0.32047763548596331"/>
  </r>
  <r>
    <s v="ORD0343"/>
    <s v="2025-05-11"/>
    <x v="8"/>
    <s v="Q2"/>
    <x v="3"/>
    <x v="0"/>
    <s v="Customer 10"/>
    <x v="6"/>
    <x v="1"/>
    <n v="3"/>
    <n v="58314"/>
    <n v="10"/>
    <n v="157447.79999999999"/>
    <n v="120959.33"/>
    <n v="36488.47"/>
    <n v="0.23174963384690039"/>
  </r>
  <r>
    <s v="ORD0401"/>
    <s v="2025-05-24"/>
    <x v="8"/>
    <s v="Q2"/>
    <x v="0"/>
    <x v="3"/>
    <s v="Customer 13"/>
    <x v="1"/>
    <x v="1"/>
    <n v="8"/>
    <n v="22894.94"/>
    <n v="10"/>
    <n v="164843.57"/>
    <n v="96496.05"/>
    <n v="68347.520000000004"/>
    <n v="0.41462047928226742"/>
  </r>
  <r>
    <s v="ORD0459"/>
    <s v="2025-05-18"/>
    <x v="8"/>
    <s v="Q2"/>
    <x v="0"/>
    <x v="0"/>
    <s v="Customer 37"/>
    <x v="1"/>
    <x v="1"/>
    <n v="7"/>
    <n v="23378.69"/>
    <n v="10"/>
    <n v="147285.75"/>
    <n v="98475.19"/>
    <n v="48810.559999999998"/>
    <n v="0.33140042400571679"/>
  </r>
  <r>
    <s v="ORD0491"/>
    <s v="2025-05-13"/>
    <x v="8"/>
    <s v="Q2"/>
    <x v="0"/>
    <x v="1"/>
    <s v="Customer 24"/>
    <x v="9"/>
    <x v="3"/>
    <n v="4"/>
    <n v="522.33000000000004"/>
    <n v="10"/>
    <n v="1880.39"/>
    <n v="1596.16"/>
    <n v="284.23"/>
    <n v="0.15115481362908759"/>
  </r>
  <r>
    <s v="ORD0534"/>
    <s v="2025-05-05"/>
    <x v="8"/>
    <s v="Q2"/>
    <x v="3"/>
    <x v="1"/>
    <s v="Customer 3"/>
    <x v="6"/>
    <x v="1"/>
    <n v="5"/>
    <n v="62879.19"/>
    <n v="10"/>
    <n v="282956.36"/>
    <n v="195790.88"/>
    <n v="87165.48"/>
    <n v="0.30805273293733354"/>
  </r>
  <r>
    <s v="ORD0605"/>
    <s v="2025-05-25"/>
    <x v="8"/>
    <s v="Q2"/>
    <x v="1"/>
    <x v="4"/>
    <s v="Customer 31"/>
    <x v="8"/>
    <x v="3"/>
    <n v="8"/>
    <n v="1607.73"/>
    <n v="10"/>
    <n v="11575.66"/>
    <n v="6448.72"/>
    <n v="5126.9399999999996"/>
    <n v="0.4429069271212181"/>
  </r>
  <r>
    <s v="ORD0623"/>
    <s v="2025-05-08"/>
    <x v="8"/>
    <s v="Q2"/>
    <x v="3"/>
    <x v="5"/>
    <s v="Customer 34"/>
    <x v="2"/>
    <x v="2"/>
    <n v="3"/>
    <n v="4934.38"/>
    <n v="10"/>
    <n v="13322.83"/>
    <n v="7487.64"/>
    <n v="5835.19"/>
    <n v="0.4379842721103549"/>
  </r>
  <r>
    <s v="ORD0725"/>
    <s v="2025-05-27"/>
    <x v="8"/>
    <s v="Q2"/>
    <x v="1"/>
    <x v="1"/>
    <s v="Customer 22"/>
    <x v="3"/>
    <x v="0"/>
    <n v="1"/>
    <n v="113.33"/>
    <n v="10"/>
    <n v="102"/>
    <n v="86.69"/>
    <n v="15.31"/>
    <n v="0.15009803921568629"/>
  </r>
  <r>
    <s v="ORD0763"/>
    <s v="2025-05-17"/>
    <x v="8"/>
    <s v="Q2"/>
    <x v="3"/>
    <x v="1"/>
    <s v="Customer 18"/>
    <x v="8"/>
    <x v="3"/>
    <n v="1"/>
    <n v="1548.47"/>
    <n v="10"/>
    <n v="1393.62"/>
    <n v="792.31"/>
    <n v="601.30999999999995"/>
    <n v="0.431473428911755"/>
  </r>
  <r>
    <s v="ORD0783"/>
    <s v="2025-05-08"/>
    <x v="8"/>
    <s v="Q2"/>
    <x v="3"/>
    <x v="0"/>
    <s v="Customer 9"/>
    <x v="8"/>
    <x v="3"/>
    <n v="3"/>
    <n v="1378.48"/>
    <n v="10"/>
    <n v="3721.9"/>
    <n v="2082.13"/>
    <n v="1639.77"/>
    <n v="0.44057336306725059"/>
  </r>
  <r>
    <s v="ORD0829"/>
    <s v="2025-05-30"/>
    <x v="8"/>
    <s v="Q2"/>
    <x v="1"/>
    <x v="3"/>
    <s v="Customer 44"/>
    <x v="7"/>
    <x v="2"/>
    <n v="8"/>
    <n v="7239.9"/>
    <n v="10"/>
    <n v="52127.28"/>
    <n v="35499.56"/>
    <n v="16627.72"/>
    <n v="0.31898307373797369"/>
  </r>
  <r>
    <s v="ORD0031"/>
    <s v="2025-11-19"/>
    <x v="9"/>
    <s v="Q4"/>
    <x v="1"/>
    <x v="2"/>
    <s v="Customer 46"/>
    <x v="0"/>
    <x v="0"/>
    <n v="6"/>
    <n v="27.7"/>
    <n v="10"/>
    <n v="149.58000000000001"/>
    <n v="122.79"/>
    <n v="26.79"/>
    <n v="0.17910148415563576"/>
  </r>
  <r>
    <s v="ORD0094"/>
    <s v="2025-11-19"/>
    <x v="9"/>
    <s v="Q4"/>
    <x v="2"/>
    <x v="0"/>
    <s v="Customer 36"/>
    <x v="3"/>
    <x v="0"/>
    <n v="6"/>
    <n v="116.13"/>
    <n v="10"/>
    <n v="627.1"/>
    <n v="349.33"/>
    <n v="277.77"/>
    <n v="0.44294370913729864"/>
  </r>
  <r>
    <s v="ORD0110"/>
    <s v="2025-11-07"/>
    <x v="9"/>
    <s v="Q4"/>
    <x v="3"/>
    <x v="5"/>
    <s v="Customer 15"/>
    <x v="5"/>
    <x v="1"/>
    <n v="1"/>
    <n v="854.97"/>
    <n v="10"/>
    <n v="769.47"/>
    <n v="636.32000000000005"/>
    <n v="133.15"/>
    <n v="0.17304118419171638"/>
  </r>
  <r>
    <s v="ORD0156"/>
    <s v="2025-11-16"/>
    <x v="9"/>
    <s v="Q4"/>
    <x v="1"/>
    <x v="4"/>
    <s v="Customer 45"/>
    <x v="5"/>
    <x v="1"/>
    <n v="4"/>
    <n v="954.09"/>
    <n v="10"/>
    <n v="3434.72"/>
    <n v="2072.04"/>
    <n v="1362.68"/>
    <n v="0.39673685191223745"/>
  </r>
  <r>
    <s v="ORD0168"/>
    <s v="2025-11-05"/>
    <x v="9"/>
    <s v="Q4"/>
    <x v="1"/>
    <x v="5"/>
    <s v="Customer 20"/>
    <x v="9"/>
    <x v="3"/>
    <n v="5"/>
    <n v="462.29"/>
    <n v="10"/>
    <n v="2080.31"/>
    <n v="1171.46"/>
    <n v="908.85"/>
    <n v="0.43688200316299014"/>
  </r>
  <r>
    <s v="ORD0206"/>
    <s v="2025-11-16"/>
    <x v="9"/>
    <s v="Q4"/>
    <x v="3"/>
    <x v="2"/>
    <s v="Customer 33"/>
    <x v="9"/>
    <x v="3"/>
    <n v="4"/>
    <n v="542.44000000000005"/>
    <n v="10"/>
    <n v="1952.78"/>
    <n v="1343.75"/>
    <n v="609.03"/>
    <n v="0.31187845020944499"/>
  </r>
  <r>
    <s v="ORD0269"/>
    <s v="2025-11-21"/>
    <x v="9"/>
    <s v="Q4"/>
    <x v="1"/>
    <x v="4"/>
    <s v="Customer 34"/>
    <x v="3"/>
    <x v="0"/>
    <n v="3"/>
    <n v="123.35"/>
    <n v="10"/>
    <n v="333.04"/>
    <n v="197.21"/>
    <n v="135.83000000000001"/>
    <n v="0.4078489070381936"/>
  </r>
  <r>
    <s v="ORD0282"/>
    <s v="2025-11-12"/>
    <x v="9"/>
    <s v="Q4"/>
    <x v="1"/>
    <x v="3"/>
    <s v="Customer 43"/>
    <x v="5"/>
    <x v="1"/>
    <n v="2"/>
    <n v="879.79"/>
    <n v="10"/>
    <n v="1583.62"/>
    <n v="1254.29"/>
    <n v="329.33"/>
    <n v="0.20796024298758542"/>
  </r>
  <r>
    <s v="ORD0311"/>
    <s v="2025-11-30"/>
    <x v="9"/>
    <s v="Q4"/>
    <x v="0"/>
    <x v="2"/>
    <s v="Customer 43"/>
    <x v="1"/>
    <x v="1"/>
    <n v="1"/>
    <n v="25186.18"/>
    <n v="10"/>
    <n v="22667.56"/>
    <n v="13981.28"/>
    <n v="8686.2800000000007"/>
    <n v="0.38320313258242178"/>
  </r>
  <r>
    <s v="ORD0386"/>
    <s v="2025-11-16"/>
    <x v="9"/>
    <s v="Q4"/>
    <x v="0"/>
    <x v="3"/>
    <s v="Customer 23"/>
    <x v="4"/>
    <x v="1"/>
    <n v="8"/>
    <n v="2634.57"/>
    <n v="10"/>
    <n v="18968.900000000001"/>
    <n v="12979.73"/>
    <n v="5989.17"/>
    <n v="0.3157362841282309"/>
  </r>
  <r>
    <s v="ORD0406"/>
    <s v="2025-11-16"/>
    <x v="9"/>
    <s v="Q4"/>
    <x v="0"/>
    <x v="5"/>
    <s v="Customer 30"/>
    <x v="0"/>
    <x v="0"/>
    <n v="6"/>
    <n v="27.57"/>
    <n v="10"/>
    <n v="148.88"/>
    <n v="97.77"/>
    <n v="51.11"/>
    <n v="0.34329661472326706"/>
  </r>
  <r>
    <s v="ORD0514"/>
    <s v="2025-11-08"/>
    <x v="9"/>
    <s v="Q4"/>
    <x v="2"/>
    <x v="1"/>
    <s v="Customer 33"/>
    <x v="5"/>
    <x v="1"/>
    <n v="6"/>
    <n v="867.02"/>
    <n v="10"/>
    <n v="4681.91"/>
    <n v="3597.46"/>
    <n v="1084.45"/>
    <n v="0.23162555452795977"/>
  </r>
  <r>
    <s v="ORD0537"/>
    <s v="2025-11-26"/>
    <x v="9"/>
    <s v="Q4"/>
    <x v="2"/>
    <x v="5"/>
    <s v="Customer 26"/>
    <x v="5"/>
    <x v="1"/>
    <n v="5"/>
    <n v="826.12"/>
    <n v="10"/>
    <n v="3717.54"/>
    <n v="2502.9299999999998"/>
    <n v="1214.6099999999999"/>
    <n v="0.3267241240174954"/>
  </r>
  <r>
    <s v="ORD0590"/>
    <s v="2025-11-09"/>
    <x v="9"/>
    <s v="Q4"/>
    <x v="1"/>
    <x v="3"/>
    <s v="Customer 3"/>
    <x v="8"/>
    <x v="3"/>
    <n v="6"/>
    <n v="1428.06"/>
    <n v="10"/>
    <n v="7711.52"/>
    <n v="6388.7"/>
    <n v="1322.82"/>
    <n v="0.17153816627590926"/>
  </r>
  <r>
    <s v="ORD0614"/>
    <s v="2025-11-23"/>
    <x v="9"/>
    <s v="Q4"/>
    <x v="3"/>
    <x v="3"/>
    <s v="Customer 23"/>
    <x v="8"/>
    <x v="3"/>
    <n v="8"/>
    <n v="1381.84"/>
    <n v="10"/>
    <n v="9949.25"/>
    <n v="5884.14"/>
    <n v="4065.11"/>
    <n v="0.40858456667588011"/>
  </r>
  <r>
    <s v="ORD0764"/>
    <s v="2025-11-05"/>
    <x v="9"/>
    <s v="Q4"/>
    <x v="2"/>
    <x v="5"/>
    <s v="Customer 17"/>
    <x v="2"/>
    <x v="2"/>
    <n v="4"/>
    <n v="4341.1499999999996"/>
    <n v="10"/>
    <n v="15628.14"/>
    <n v="11907.68"/>
    <n v="3720.46"/>
    <n v="0.23806159914103664"/>
  </r>
  <r>
    <s v="ORD0769"/>
    <s v="2025-11-10"/>
    <x v="9"/>
    <s v="Q4"/>
    <x v="2"/>
    <x v="1"/>
    <s v="Customer 1"/>
    <x v="5"/>
    <x v="1"/>
    <n v="6"/>
    <n v="946.87"/>
    <n v="10"/>
    <n v="5113.1000000000004"/>
    <n v="4166.6499999999996"/>
    <n v="946.45"/>
    <n v="0.18510297080049284"/>
  </r>
  <r>
    <s v="ORD0784"/>
    <s v="2025-11-18"/>
    <x v="9"/>
    <s v="Q4"/>
    <x v="1"/>
    <x v="4"/>
    <s v="Customer 50"/>
    <x v="5"/>
    <x v="1"/>
    <n v="8"/>
    <n v="876.12"/>
    <n v="10"/>
    <n v="6308.06"/>
    <n v="4522.32"/>
    <n v="1785.74"/>
    <n v="0.28308861995605622"/>
  </r>
  <r>
    <s v="ORD0825"/>
    <s v="2025-11-28"/>
    <x v="9"/>
    <s v="Q4"/>
    <x v="0"/>
    <x v="4"/>
    <s v="Customer 20"/>
    <x v="5"/>
    <x v="1"/>
    <n v="5"/>
    <n v="853.27"/>
    <n v="10"/>
    <n v="3839.72"/>
    <n v="2338.71"/>
    <n v="1501.01"/>
    <n v="0.39091652516329317"/>
  </r>
  <r>
    <s v="ORD0830"/>
    <s v="2025-11-24"/>
    <x v="9"/>
    <s v="Q4"/>
    <x v="3"/>
    <x v="4"/>
    <s v="Customer 46"/>
    <x v="6"/>
    <x v="1"/>
    <n v="6"/>
    <n v="55342.28"/>
    <n v="10"/>
    <n v="298848.31"/>
    <n v="166068.35999999999"/>
    <n v="132779.95000000001"/>
    <n v="0.44430550736592761"/>
  </r>
  <r>
    <s v="ORD0841"/>
    <s v="2025-11-11"/>
    <x v="9"/>
    <s v="Q4"/>
    <x v="1"/>
    <x v="4"/>
    <s v="Customer 10"/>
    <x v="9"/>
    <x v="3"/>
    <n v="3"/>
    <n v="534.16999999999996"/>
    <n v="10"/>
    <n v="1442.26"/>
    <n v="861.35"/>
    <n v="580.91"/>
    <n v="0.40277758517881657"/>
  </r>
  <r>
    <s v="ORD0844"/>
    <s v="2025-11-18"/>
    <x v="9"/>
    <s v="Q4"/>
    <x v="1"/>
    <x v="3"/>
    <s v="Customer 35"/>
    <x v="2"/>
    <x v="2"/>
    <n v="7"/>
    <n v="4493.7299999999996"/>
    <n v="10"/>
    <n v="28310.5"/>
    <n v="18266.97"/>
    <n v="10043.530000000001"/>
    <n v="0.3547634269970506"/>
  </r>
  <r>
    <s v="ORD0908"/>
    <s v="2025-11-06"/>
    <x v="9"/>
    <s v="Q4"/>
    <x v="1"/>
    <x v="3"/>
    <s v="Customer 1"/>
    <x v="4"/>
    <x v="1"/>
    <n v="6"/>
    <n v="2381.98"/>
    <n v="10"/>
    <n v="12862.69"/>
    <n v="9428.52"/>
    <n v="3434.17"/>
    <n v="0.26698692108726868"/>
  </r>
  <r>
    <s v="ORD0946"/>
    <s v="2025-11-17"/>
    <x v="9"/>
    <s v="Q4"/>
    <x v="2"/>
    <x v="0"/>
    <s v="Customer 3"/>
    <x v="8"/>
    <x v="3"/>
    <n v="3"/>
    <n v="1590.75"/>
    <n v="10"/>
    <n v="4295.03"/>
    <n v="2690.09"/>
    <n v="1604.94"/>
    <n v="0.37367375780844375"/>
  </r>
  <r>
    <s v="ORD0127"/>
    <s v="2025-10-08"/>
    <x v="10"/>
    <s v="Q4"/>
    <x v="1"/>
    <x v="5"/>
    <s v="Customer 6"/>
    <x v="0"/>
    <x v="0"/>
    <n v="3"/>
    <n v="32.4"/>
    <n v="10"/>
    <n v="87.48"/>
    <n v="48.51"/>
    <n v="38.97"/>
    <n v="0.44547325102880653"/>
  </r>
  <r>
    <s v="ORD0133"/>
    <s v="2025-10-12"/>
    <x v="10"/>
    <s v="Q4"/>
    <x v="0"/>
    <x v="0"/>
    <s v="Customer 43"/>
    <x v="5"/>
    <x v="1"/>
    <n v="6"/>
    <n v="874.99"/>
    <n v="10"/>
    <n v="4724.95"/>
    <n v="2843.17"/>
    <n v="1881.78"/>
    <n v="0.39826453189980848"/>
  </r>
  <r>
    <s v="ORD0237"/>
    <s v="2025-10-25"/>
    <x v="10"/>
    <s v="Q4"/>
    <x v="1"/>
    <x v="2"/>
    <s v="Customer 43"/>
    <x v="5"/>
    <x v="1"/>
    <n v="3"/>
    <n v="829.72"/>
    <n v="10"/>
    <n v="2240.2399999999998"/>
    <n v="1858.19"/>
    <n v="382.05"/>
    <n v="0.17053976359675752"/>
  </r>
  <r>
    <s v="ORD0324"/>
    <s v="2025-10-04"/>
    <x v="10"/>
    <s v="Q4"/>
    <x v="3"/>
    <x v="3"/>
    <s v="Customer 44"/>
    <x v="1"/>
    <x v="1"/>
    <n v="3"/>
    <n v="23081.93"/>
    <n v="10"/>
    <n v="62321.21"/>
    <n v="36223.33"/>
    <n v="26097.88"/>
    <n v="0.41876401308639549"/>
  </r>
  <r>
    <s v="ORD0397"/>
    <s v="2025-10-07"/>
    <x v="10"/>
    <s v="Q4"/>
    <x v="0"/>
    <x v="5"/>
    <s v="Customer 23"/>
    <x v="2"/>
    <x v="2"/>
    <n v="1"/>
    <n v="4795.26"/>
    <n v="10"/>
    <n v="4315.7299999999996"/>
    <n v="3609.22"/>
    <n v="706.51"/>
    <n v="0.16370579253104342"/>
  </r>
  <r>
    <s v="ORD0541"/>
    <s v="2025-10-16"/>
    <x v="10"/>
    <s v="Q4"/>
    <x v="0"/>
    <x v="0"/>
    <s v="Customer 30"/>
    <x v="1"/>
    <x v="1"/>
    <n v="4"/>
    <n v="23071.67"/>
    <n v="10"/>
    <n v="83058.009999999995"/>
    <n v="52454.84"/>
    <n v="30603.17"/>
    <n v="0.36845537233555198"/>
  </r>
  <r>
    <s v="ORD0577"/>
    <s v="2025-10-03"/>
    <x v="10"/>
    <s v="Q4"/>
    <x v="0"/>
    <x v="4"/>
    <s v="Customer 36"/>
    <x v="8"/>
    <x v="3"/>
    <n v="3"/>
    <n v="1351.46"/>
    <n v="10"/>
    <n v="3648.94"/>
    <n v="2069.25"/>
    <n v="1579.69"/>
    <n v="0.43291750480961594"/>
  </r>
  <r>
    <s v="ORD0584"/>
    <s v="2025-10-22"/>
    <x v="10"/>
    <s v="Q4"/>
    <x v="0"/>
    <x v="0"/>
    <s v="Customer 44"/>
    <x v="5"/>
    <x v="1"/>
    <n v="3"/>
    <n v="921.02"/>
    <n v="10"/>
    <n v="2486.75"/>
    <n v="1441.16"/>
    <n v="1045.5899999999999"/>
    <n v="0.42046446164672763"/>
  </r>
  <r>
    <s v="ORD0591"/>
    <s v="2025-10-19"/>
    <x v="10"/>
    <s v="Q4"/>
    <x v="2"/>
    <x v="2"/>
    <s v="Customer 43"/>
    <x v="0"/>
    <x v="0"/>
    <n v="7"/>
    <n v="28.8"/>
    <n v="10"/>
    <n v="181.44"/>
    <n v="139.75"/>
    <n v="41.69"/>
    <n v="0.22977292768959434"/>
  </r>
  <r>
    <s v="ORD0648"/>
    <s v="2025-10-30"/>
    <x v="10"/>
    <s v="Q4"/>
    <x v="2"/>
    <x v="0"/>
    <s v="Customer 9"/>
    <x v="6"/>
    <x v="1"/>
    <n v="3"/>
    <n v="59261.49"/>
    <n v="10"/>
    <n v="160006.01999999999"/>
    <n v="126444.6"/>
    <n v="33561.42"/>
    <n v="0.20975098311926013"/>
  </r>
  <r>
    <s v="ORD0652"/>
    <s v="2025-10-02"/>
    <x v="10"/>
    <s v="Q4"/>
    <x v="0"/>
    <x v="5"/>
    <s v="Customer 17"/>
    <x v="3"/>
    <x v="0"/>
    <n v="3"/>
    <n v="128.13999999999999"/>
    <n v="10"/>
    <n v="345.98"/>
    <n v="195.9"/>
    <n v="150.08000000000001"/>
    <n v="0.43378229955488756"/>
  </r>
  <r>
    <s v="ORD0757"/>
    <s v="2025-10-27"/>
    <x v="10"/>
    <s v="Q4"/>
    <x v="1"/>
    <x v="4"/>
    <s v="Customer 49"/>
    <x v="3"/>
    <x v="0"/>
    <n v="1"/>
    <n v="128.66999999999999"/>
    <n v="10"/>
    <n v="115.8"/>
    <n v="77.84"/>
    <n v="37.96"/>
    <n v="0.32780656303972366"/>
  </r>
  <r>
    <s v="ORD0859"/>
    <s v="2025-10-21"/>
    <x v="10"/>
    <s v="Q4"/>
    <x v="3"/>
    <x v="3"/>
    <s v="Customer 1"/>
    <x v="7"/>
    <x v="2"/>
    <n v="2"/>
    <n v="8368.7199999999993"/>
    <n v="10"/>
    <n v="15063.7"/>
    <n v="12135.1"/>
    <n v="2928.6"/>
    <n v="0.19441438690361595"/>
  </r>
  <r>
    <s v="ORD0869"/>
    <s v="2025-10-25"/>
    <x v="10"/>
    <s v="Q4"/>
    <x v="3"/>
    <x v="4"/>
    <s v="Customer 37"/>
    <x v="3"/>
    <x v="0"/>
    <n v="1"/>
    <n v="118.25"/>
    <n v="10"/>
    <n v="106.42"/>
    <n v="72.87"/>
    <n v="33.549999999999997"/>
    <n v="0.31526028941928208"/>
  </r>
  <r>
    <s v="ORD0942"/>
    <s v="2025-10-08"/>
    <x v="10"/>
    <s v="Q4"/>
    <x v="3"/>
    <x v="1"/>
    <s v="Customer 13"/>
    <x v="3"/>
    <x v="0"/>
    <n v="6"/>
    <n v="130.91999999999999"/>
    <n v="10"/>
    <n v="706.97"/>
    <n v="417.27"/>
    <n v="289.7"/>
    <n v="0.40977693537208082"/>
  </r>
  <r>
    <s v="ORD0984"/>
    <s v="2025-10-25"/>
    <x v="10"/>
    <s v="Q4"/>
    <x v="3"/>
    <x v="0"/>
    <s v="Customer 32"/>
    <x v="5"/>
    <x v="1"/>
    <n v="7"/>
    <n v="957.14"/>
    <n v="10"/>
    <n v="6029.98"/>
    <n v="4840.2700000000004"/>
    <n v="1189.71"/>
    <n v="0.19729916185459986"/>
  </r>
  <r>
    <s v="ORD0012"/>
    <s v="2025-09-19"/>
    <x v="11"/>
    <s v="Q3"/>
    <x v="0"/>
    <x v="1"/>
    <s v="Customer 8"/>
    <x v="9"/>
    <x v="3"/>
    <n v="4"/>
    <n v="491.5"/>
    <n v="10"/>
    <n v="1769.4"/>
    <n v="1328.03"/>
    <n v="441.37"/>
    <n v="0.24944613993444104"/>
  </r>
  <r>
    <s v="ORD0060"/>
    <s v="2025-09-09"/>
    <x v="11"/>
    <s v="Q3"/>
    <x v="2"/>
    <x v="3"/>
    <s v="Customer 24"/>
    <x v="4"/>
    <x v="1"/>
    <n v="2"/>
    <n v="2264"/>
    <n v="10"/>
    <n v="4075.2"/>
    <n v="2578.15"/>
    <n v="1497.05"/>
    <n v="0.36735620337652142"/>
  </r>
  <r>
    <s v="ORD0071"/>
    <s v="2025-09-03"/>
    <x v="11"/>
    <s v="Q3"/>
    <x v="3"/>
    <x v="0"/>
    <s v="Customer 14"/>
    <x v="9"/>
    <x v="3"/>
    <n v="5"/>
    <n v="532.64"/>
    <n v="10"/>
    <n v="2396.88"/>
    <n v="1400.81"/>
    <n v="996.07"/>
    <n v="0.41556940689563099"/>
  </r>
  <r>
    <s v="ORD0145"/>
    <s v="2025-09-28"/>
    <x v="11"/>
    <s v="Q3"/>
    <x v="2"/>
    <x v="4"/>
    <s v="Customer 50"/>
    <x v="5"/>
    <x v="1"/>
    <n v="4"/>
    <n v="928.71"/>
    <n v="10"/>
    <n v="3343.36"/>
    <n v="1920.59"/>
    <n v="1422.77"/>
    <n v="0.42555094276416539"/>
  </r>
  <r>
    <s v="ORD0162"/>
    <s v="2025-09-10"/>
    <x v="11"/>
    <s v="Q3"/>
    <x v="1"/>
    <x v="2"/>
    <s v="Customer 26"/>
    <x v="0"/>
    <x v="0"/>
    <n v="6"/>
    <n v="32.229999999999997"/>
    <n v="10"/>
    <n v="174.04"/>
    <n v="115.46"/>
    <n v="58.58"/>
    <n v="0.33658928981843256"/>
  </r>
  <r>
    <s v="ORD0194"/>
    <s v="2025-09-24"/>
    <x v="11"/>
    <s v="Q3"/>
    <x v="0"/>
    <x v="2"/>
    <s v="Customer 46"/>
    <x v="0"/>
    <x v="0"/>
    <n v="3"/>
    <n v="30.36"/>
    <n v="10"/>
    <n v="81.97"/>
    <n v="50.71"/>
    <n v="31.26"/>
    <n v="0.38135903379285108"/>
  </r>
  <r>
    <s v="ORD0207"/>
    <s v="2025-09-09"/>
    <x v="11"/>
    <s v="Q3"/>
    <x v="0"/>
    <x v="0"/>
    <s v="Customer 4"/>
    <x v="5"/>
    <x v="1"/>
    <n v="7"/>
    <n v="880.63"/>
    <n v="10"/>
    <n v="5547.97"/>
    <n v="3292.55"/>
    <n v="2255.42"/>
    <n v="0.40653067698635714"/>
  </r>
  <r>
    <s v="ORD0288"/>
    <s v="2025-09-21"/>
    <x v="11"/>
    <s v="Q3"/>
    <x v="2"/>
    <x v="1"/>
    <s v="Customer 35"/>
    <x v="0"/>
    <x v="0"/>
    <n v="3"/>
    <n v="28.9"/>
    <n v="10"/>
    <n v="78.03"/>
    <n v="66.06"/>
    <n v="11.97"/>
    <n v="0.15340253748558247"/>
  </r>
  <r>
    <s v="ORD0301"/>
    <s v="2025-09-12"/>
    <x v="11"/>
    <s v="Q3"/>
    <x v="3"/>
    <x v="0"/>
    <s v="Customer 23"/>
    <x v="9"/>
    <x v="3"/>
    <n v="7"/>
    <n v="450.2"/>
    <n v="10"/>
    <n v="2836.26"/>
    <n v="1930.57"/>
    <n v="905.69"/>
    <n v="0.3193254497119446"/>
  </r>
  <r>
    <s v="ORD0371"/>
    <s v="2025-09-28"/>
    <x v="11"/>
    <s v="Q3"/>
    <x v="1"/>
    <x v="0"/>
    <s v="Customer 25"/>
    <x v="1"/>
    <x v="1"/>
    <n v="2"/>
    <n v="27050.48"/>
    <n v="10"/>
    <n v="48690.86"/>
    <n v="27198.51"/>
    <n v="21492.35"/>
    <n v="0.44140419783096863"/>
  </r>
  <r>
    <s v="ORD0486"/>
    <s v="2025-09-27"/>
    <x v="11"/>
    <s v="Q3"/>
    <x v="3"/>
    <x v="1"/>
    <s v="Customer 16"/>
    <x v="6"/>
    <x v="1"/>
    <n v="3"/>
    <n v="60891.79"/>
    <n v="10"/>
    <n v="164407.82999999999"/>
    <n v="99336.81"/>
    <n v="65071.02"/>
    <n v="0.39579027349244866"/>
  </r>
  <r>
    <s v="ORD0501"/>
    <s v="2025-09-26"/>
    <x v="11"/>
    <s v="Q3"/>
    <x v="1"/>
    <x v="5"/>
    <s v="Customer 22"/>
    <x v="4"/>
    <x v="1"/>
    <n v="2"/>
    <n v="2677.71"/>
    <n v="10"/>
    <n v="4819.88"/>
    <n v="3189.02"/>
    <n v="1630.86"/>
    <n v="0.33836112102375993"/>
  </r>
  <r>
    <s v="ORD0643"/>
    <s v="2025-09-14"/>
    <x v="11"/>
    <s v="Q3"/>
    <x v="3"/>
    <x v="1"/>
    <s v="Customer 23"/>
    <x v="7"/>
    <x v="2"/>
    <n v="8"/>
    <n v="8051.86"/>
    <n v="10"/>
    <n v="57973.39"/>
    <n v="37457.72"/>
    <n v="20515.669999999998"/>
    <n v="0.35388080634925778"/>
  </r>
  <r>
    <s v="ORD0659"/>
    <s v="2025-09-10"/>
    <x v="11"/>
    <s v="Q3"/>
    <x v="2"/>
    <x v="1"/>
    <s v="Customer 46"/>
    <x v="2"/>
    <x v="2"/>
    <n v="5"/>
    <n v="4361.67"/>
    <n v="10"/>
    <n v="19627.509999999998"/>
    <n v="14289.88"/>
    <n v="5337.63"/>
    <n v="0.27194636507636477"/>
  </r>
  <r>
    <s v="ORD0664"/>
    <s v="2025-09-27"/>
    <x v="11"/>
    <s v="Q3"/>
    <x v="2"/>
    <x v="3"/>
    <s v="Customer 21"/>
    <x v="7"/>
    <x v="2"/>
    <n v="6"/>
    <n v="7787.28"/>
    <n v="10"/>
    <n v="42051.31"/>
    <n v="30751.53"/>
    <n v="11299.78"/>
    <n v="0.26871410189123718"/>
  </r>
  <r>
    <s v="ORD0713"/>
    <s v="2025-09-19"/>
    <x v="11"/>
    <s v="Q3"/>
    <x v="1"/>
    <x v="2"/>
    <s v="Customer 8"/>
    <x v="4"/>
    <x v="1"/>
    <n v="6"/>
    <n v="2425.6"/>
    <n v="10"/>
    <n v="13098.24"/>
    <n v="8680.64"/>
    <n v="4417.6000000000004"/>
    <n v="0.33726668621127726"/>
  </r>
  <r>
    <s v="ORD0770"/>
    <s v="2025-09-21"/>
    <x v="11"/>
    <s v="Q3"/>
    <x v="0"/>
    <x v="4"/>
    <s v="Customer 8"/>
    <x v="1"/>
    <x v="1"/>
    <n v="5"/>
    <n v="27230.25"/>
    <n v="10"/>
    <n v="122536.12"/>
    <n v="79457.73"/>
    <n v="43078.39"/>
    <n v="0.35155666753607018"/>
  </r>
  <r>
    <s v="ORD0858"/>
    <s v="2025-09-14"/>
    <x v="11"/>
    <s v="Q3"/>
    <x v="1"/>
    <x v="2"/>
    <s v="Customer 14"/>
    <x v="2"/>
    <x v="2"/>
    <n v="4"/>
    <n v="4652.0200000000004"/>
    <n v="10"/>
    <n v="16747.27"/>
    <n v="13001.14"/>
    <n v="3746.13"/>
    <n v="0.22368600971979313"/>
  </r>
  <r>
    <s v="ORD0880"/>
    <s v="2025-09-26"/>
    <x v="11"/>
    <s v="Q3"/>
    <x v="3"/>
    <x v="5"/>
    <s v="Customer 47"/>
    <x v="9"/>
    <x v="3"/>
    <n v="6"/>
    <n v="473.58"/>
    <n v="10"/>
    <n v="2557.33"/>
    <n v="1729.11"/>
    <n v="828.22"/>
    <n v="0.32386121462619216"/>
  </r>
  <r>
    <s v="ORD0888"/>
    <s v="2025-09-03"/>
    <x v="11"/>
    <s v="Q3"/>
    <x v="0"/>
    <x v="2"/>
    <s v="Customer 16"/>
    <x v="0"/>
    <x v="0"/>
    <n v="2"/>
    <n v="27.77"/>
    <n v="10"/>
    <n v="49.99"/>
    <n v="36.47"/>
    <n v="13.52"/>
    <n v="0.27045409081816363"/>
  </r>
  <r>
    <s v="ORD0004"/>
    <s v="2025-04-17"/>
    <x v="0"/>
    <s v="Q2"/>
    <x v="1"/>
    <x v="0"/>
    <s v="Customer 37"/>
    <x v="2"/>
    <x v="2"/>
    <n v="1"/>
    <n v="4364.22"/>
    <n v="5"/>
    <n v="4146.01"/>
    <n v="2539.2399999999998"/>
    <n v="1606.77"/>
    <n v="0.3875460985381125"/>
  </r>
  <r>
    <s v="ORD0005"/>
    <s v="2025-04-04"/>
    <x v="0"/>
    <s v="Q2"/>
    <x v="0"/>
    <x v="1"/>
    <s v="Customer 9"/>
    <x v="6"/>
    <x v="1"/>
    <n v="8"/>
    <n v="56765.440000000002"/>
    <n v="5"/>
    <n v="431417.34"/>
    <n v="273344.34999999998"/>
    <n v="158072.99"/>
    <n v="0.36640388631574239"/>
  </r>
  <r>
    <s v="ORD0029"/>
    <s v="2025-04-25"/>
    <x v="0"/>
    <s v="Q2"/>
    <x v="3"/>
    <x v="3"/>
    <s v="Customer 42"/>
    <x v="6"/>
    <x v="1"/>
    <n v="2"/>
    <n v="54741.760000000002"/>
    <n v="5"/>
    <n v="104009.34"/>
    <n v="75061.990000000005"/>
    <n v="28947.35"/>
    <n v="0.27831490902643935"/>
  </r>
  <r>
    <s v="ORD0057"/>
    <s v="2025-04-01"/>
    <x v="0"/>
    <s v="Q2"/>
    <x v="0"/>
    <x v="5"/>
    <s v="Customer 15"/>
    <x v="9"/>
    <x v="3"/>
    <n v="6"/>
    <n v="450.83"/>
    <n v="5"/>
    <n v="2569.73"/>
    <n v="1465.43"/>
    <n v="1104.3"/>
    <n v="0.42973386309067485"/>
  </r>
  <r>
    <s v="ORD0124"/>
    <s v="2025-04-26"/>
    <x v="0"/>
    <s v="Q2"/>
    <x v="0"/>
    <x v="0"/>
    <s v="Customer 46"/>
    <x v="6"/>
    <x v="1"/>
    <n v="1"/>
    <n v="60195.93"/>
    <n v="5"/>
    <n v="57186.13"/>
    <n v="47134.84"/>
    <n v="10051.290000000001"/>
    <n v="0.1757644729587402"/>
  </r>
  <r>
    <s v="ORD0313"/>
    <s v="2025-04-30"/>
    <x v="0"/>
    <s v="Q2"/>
    <x v="2"/>
    <x v="1"/>
    <s v="Customer 38"/>
    <x v="7"/>
    <x v="2"/>
    <n v="4"/>
    <n v="7650.93"/>
    <n v="5"/>
    <n v="29073.53"/>
    <n v="20327.419999999998"/>
    <n v="8746.11"/>
    <n v="0.30082724732772392"/>
  </r>
  <r>
    <s v="ORD0410"/>
    <s v="2025-04-30"/>
    <x v="0"/>
    <s v="Q2"/>
    <x v="0"/>
    <x v="4"/>
    <s v="Customer 29"/>
    <x v="8"/>
    <x v="3"/>
    <n v="3"/>
    <n v="1589.89"/>
    <n v="5"/>
    <n v="4531.1899999999996"/>
    <n v="2761.94"/>
    <n v="1769.25"/>
    <n v="0.39046034264729579"/>
  </r>
  <r>
    <s v="ORD0500"/>
    <s v="2025-04-13"/>
    <x v="0"/>
    <s v="Q2"/>
    <x v="2"/>
    <x v="2"/>
    <s v="Customer 12"/>
    <x v="7"/>
    <x v="2"/>
    <n v="1"/>
    <n v="8417.11"/>
    <n v="5"/>
    <n v="7996.25"/>
    <n v="5960.76"/>
    <n v="2035.49"/>
    <n v="0.25455557292480852"/>
  </r>
  <r>
    <s v="ORD0633"/>
    <s v="2025-04-05"/>
    <x v="0"/>
    <s v="Q2"/>
    <x v="0"/>
    <x v="0"/>
    <s v="Customer 23"/>
    <x v="4"/>
    <x v="1"/>
    <n v="4"/>
    <n v="2492.0500000000002"/>
    <n v="5"/>
    <n v="9469.7900000000009"/>
    <n v="7483.35"/>
    <n v="1986.44"/>
    <n v="0.20976600325878397"/>
  </r>
  <r>
    <s v="ORD0739"/>
    <s v="2025-04-17"/>
    <x v="0"/>
    <s v="Q2"/>
    <x v="2"/>
    <x v="2"/>
    <s v="Customer 50"/>
    <x v="1"/>
    <x v="1"/>
    <n v="5"/>
    <n v="27174.01"/>
    <n v="5"/>
    <n v="129076.55"/>
    <n v="96582.12"/>
    <n v="32494.43"/>
    <n v="0.25174541773854353"/>
  </r>
  <r>
    <s v="ORD0761"/>
    <s v="2025-04-09"/>
    <x v="0"/>
    <s v="Q2"/>
    <x v="2"/>
    <x v="0"/>
    <s v="Customer 36"/>
    <x v="9"/>
    <x v="3"/>
    <n v="3"/>
    <n v="486.09"/>
    <n v="5"/>
    <n v="1385.36"/>
    <n v="1079.5999999999999"/>
    <n v="305.76"/>
    <n v="0.22070797482242885"/>
  </r>
  <r>
    <s v="ORD0837"/>
    <s v="2025-04-24"/>
    <x v="0"/>
    <s v="Q2"/>
    <x v="0"/>
    <x v="0"/>
    <s v="Customer 49"/>
    <x v="1"/>
    <x v="1"/>
    <n v="7"/>
    <n v="25682.73"/>
    <n v="5"/>
    <n v="170790.15"/>
    <n v="139968.67000000001"/>
    <n v="30821.48"/>
    <n v="0.18046403729957494"/>
  </r>
  <r>
    <s v="ORD0899"/>
    <s v="2025-04-20"/>
    <x v="0"/>
    <s v="Q2"/>
    <x v="1"/>
    <x v="2"/>
    <s v="Customer 8"/>
    <x v="1"/>
    <x v="1"/>
    <n v="4"/>
    <n v="24908.87"/>
    <n v="5"/>
    <n v="94653.71"/>
    <n v="61443.79"/>
    <n v="33209.919999999998"/>
    <n v="0.35085703455258116"/>
  </r>
  <r>
    <s v="ORD0900"/>
    <s v="2025-04-21"/>
    <x v="0"/>
    <s v="Q2"/>
    <x v="1"/>
    <x v="0"/>
    <s v="Customer 20"/>
    <x v="9"/>
    <x v="3"/>
    <n v="3"/>
    <n v="516.02"/>
    <n v="5"/>
    <n v="1470.66"/>
    <n v="989.27"/>
    <n v="481.39"/>
    <n v="0.32732922633375489"/>
  </r>
  <r>
    <s v="ORD0901"/>
    <s v="2025-04-10"/>
    <x v="0"/>
    <s v="Q2"/>
    <x v="0"/>
    <x v="3"/>
    <s v="Customer 13"/>
    <x v="8"/>
    <x v="3"/>
    <n v="1"/>
    <n v="1609.55"/>
    <n v="5"/>
    <n v="1529.07"/>
    <n v="874.25"/>
    <n v="654.82000000000005"/>
    <n v="0.42824723524756886"/>
  </r>
  <r>
    <s v="ORD0928"/>
    <s v="2025-04-21"/>
    <x v="0"/>
    <s v="Q2"/>
    <x v="3"/>
    <x v="1"/>
    <s v="Customer 40"/>
    <x v="5"/>
    <x v="1"/>
    <n v="6"/>
    <n v="961.23"/>
    <n v="5"/>
    <n v="5479.01"/>
    <n v="3795.6"/>
    <n v="1683.41"/>
    <n v="0.30724711216077355"/>
  </r>
  <r>
    <s v="ORD0961"/>
    <s v="2025-04-23"/>
    <x v="0"/>
    <s v="Q2"/>
    <x v="0"/>
    <x v="2"/>
    <s v="Customer 40"/>
    <x v="2"/>
    <x v="2"/>
    <n v="2"/>
    <n v="4288.18"/>
    <n v="5"/>
    <n v="8147.54"/>
    <n v="5518.13"/>
    <n v="2629.41"/>
    <n v="0.32272440515787587"/>
  </r>
  <r>
    <s v="ORD0975"/>
    <s v="2025-04-07"/>
    <x v="0"/>
    <s v="Q2"/>
    <x v="2"/>
    <x v="3"/>
    <s v="Customer 47"/>
    <x v="5"/>
    <x v="1"/>
    <n v="8"/>
    <n v="823.18"/>
    <n v="5"/>
    <n v="6256.17"/>
    <n v="3676.7"/>
    <n v="2579.4699999999998"/>
    <n v="0.41230816937519277"/>
  </r>
  <r>
    <s v="ORD0007"/>
    <s v="2025-08-15"/>
    <x v="1"/>
    <s v="Q3"/>
    <x v="1"/>
    <x v="5"/>
    <s v="Customer 16"/>
    <x v="8"/>
    <x v="3"/>
    <n v="5"/>
    <n v="1482.79"/>
    <n v="5"/>
    <n v="7043.25"/>
    <n v="3952.24"/>
    <n v="3091.01"/>
    <n v="0.43886132112306114"/>
  </r>
  <r>
    <s v="ORD0030"/>
    <s v="2025-08-17"/>
    <x v="1"/>
    <s v="Q3"/>
    <x v="2"/>
    <x v="5"/>
    <s v="Customer 41"/>
    <x v="0"/>
    <x v="0"/>
    <n v="4"/>
    <n v="31.81"/>
    <n v="5"/>
    <n v="120.88"/>
    <n v="88.2"/>
    <n v="32.68"/>
    <n v="0.27035076108537393"/>
  </r>
  <r>
    <s v="ORD0161"/>
    <s v="2025-08-31"/>
    <x v="1"/>
    <s v="Q3"/>
    <x v="1"/>
    <x v="5"/>
    <s v="Customer 10"/>
    <x v="8"/>
    <x v="3"/>
    <n v="3"/>
    <n v="1376.15"/>
    <n v="5"/>
    <n v="3922.03"/>
    <n v="2805.57"/>
    <n v="1116.46"/>
    <n v="0.28466380930283552"/>
  </r>
  <r>
    <s v="ORD0165"/>
    <s v="2025-08-16"/>
    <x v="1"/>
    <s v="Q3"/>
    <x v="0"/>
    <x v="4"/>
    <s v="Customer 33"/>
    <x v="7"/>
    <x v="2"/>
    <n v="4"/>
    <n v="7397.98"/>
    <n v="5"/>
    <n v="28112.32"/>
    <n v="16507.91"/>
    <n v="11604.41"/>
    <n v="0.41278734732672367"/>
  </r>
  <r>
    <s v="ORD0246"/>
    <s v="2025-08-12"/>
    <x v="1"/>
    <s v="Q3"/>
    <x v="0"/>
    <x v="1"/>
    <s v="Customer 42"/>
    <x v="0"/>
    <x v="0"/>
    <n v="3"/>
    <n v="32.659999999999997"/>
    <n v="5"/>
    <n v="93.08"/>
    <n v="76.150000000000006"/>
    <n v="16.93"/>
    <n v="0.18188654920498495"/>
  </r>
  <r>
    <s v="ORD0276"/>
    <s v="2025-08-03"/>
    <x v="1"/>
    <s v="Q3"/>
    <x v="1"/>
    <x v="3"/>
    <s v="Customer 8"/>
    <x v="3"/>
    <x v="0"/>
    <n v="8"/>
    <n v="115.32"/>
    <n v="5"/>
    <n v="876.43"/>
    <n v="592.75"/>
    <n v="283.68"/>
    <n v="0.32367673402325348"/>
  </r>
  <r>
    <s v="ORD0279"/>
    <s v="2025-08-13"/>
    <x v="1"/>
    <s v="Q3"/>
    <x v="1"/>
    <x v="2"/>
    <s v="Customer 44"/>
    <x v="5"/>
    <x v="1"/>
    <n v="1"/>
    <n v="942.03"/>
    <n v="5"/>
    <n v="894.93"/>
    <n v="678.32"/>
    <n v="216.61"/>
    <n v="0.24204127697138328"/>
  </r>
  <r>
    <s v="ORD0290"/>
    <s v="2025-08-28"/>
    <x v="1"/>
    <s v="Q3"/>
    <x v="1"/>
    <x v="2"/>
    <s v="Customer 27"/>
    <x v="4"/>
    <x v="1"/>
    <n v="3"/>
    <n v="2730.15"/>
    <n v="5"/>
    <n v="7780.93"/>
    <n v="5911.92"/>
    <n v="1869.01"/>
    <n v="0.24020393449112123"/>
  </r>
  <r>
    <s v="ORD0453"/>
    <s v="2025-08-11"/>
    <x v="1"/>
    <s v="Q3"/>
    <x v="1"/>
    <x v="3"/>
    <s v="Customer 46"/>
    <x v="2"/>
    <x v="2"/>
    <n v="8"/>
    <n v="4235.08"/>
    <n v="5"/>
    <n v="32186.61"/>
    <n v="21475.35"/>
    <n v="10711.26"/>
    <n v="0.33278621140903003"/>
  </r>
  <r>
    <s v="ORD0506"/>
    <s v="2025-08-14"/>
    <x v="1"/>
    <s v="Q3"/>
    <x v="0"/>
    <x v="0"/>
    <s v="Customer 7"/>
    <x v="6"/>
    <x v="1"/>
    <n v="1"/>
    <n v="55663.48"/>
    <n v="5"/>
    <n v="52880.31"/>
    <n v="29532.16"/>
    <n v="23348.15"/>
    <n v="0.44152823612418313"/>
  </r>
  <r>
    <s v="ORD0513"/>
    <s v="2025-08-01"/>
    <x v="1"/>
    <s v="Q3"/>
    <x v="2"/>
    <x v="2"/>
    <s v="Customer 26"/>
    <x v="3"/>
    <x v="0"/>
    <n v="4"/>
    <n v="122.36"/>
    <n v="5"/>
    <n v="464.97"/>
    <n v="333.78"/>
    <n v="131.19"/>
    <n v="0.28214723530550356"/>
  </r>
  <r>
    <s v="ORD0617"/>
    <s v="2025-08-22"/>
    <x v="1"/>
    <s v="Q3"/>
    <x v="0"/>
    <x v="0"/>
    <s v="Customer 28"/>
    <x v="6"/>
    <x v="1"/>
    <n v="4"/>
    <n v="56076.73"/>
    <n v="5"/>
    <n v="213091.57"/>
    <n v="149046.57"/>
    <n v="64045"/>
    <n v="0.3005515422313515"/>
  </r>
  <r>
    <s v="ORD0679"/>
    <s v="2025-08-13"/>
    <x v="1"/>
    <s v="Q3"/>
    <x v="2"/>
    <x v="4"/>
    <s v="Customer 46"/>
    <x v="6"/>
    <x v="1"/>
    <n v="5"/>
    <n v="62912.95"/>
    <n v="5"/>
    <n v="298836.51"/>
    <n v="177851.97"/>
    <n v="120984.54"/>
    <n v="0.40485193726830765"/>
  </r>
  <r>
    <s v="ORD0690"/>
    <s v="2025-08-23"/>
    <x v="1"/>
    <s v="Q3"/>
    <x v="1"/>
    <x v="2"/>
    <s v="Customer 1"/>
    <x v="1"/>
    <x v="1"/>
    <n v="6"/>
    <n v="23437.08"/>
    <n v="5"/>
    <n v="133591.35999999999"/>
    <n v="93300.99"/>
    <n v="40290.370000000003"/>
    <n v="0.30159413003954749"/>
  </r>
  <r>
    <s v="ORD0873"/>
    <s v="2025-08-23"/>
    <x v="1"/>
    <s v="Q3"/>
    <x v="3"/>
    <x v="2"/>
    <s v="Customer 2"/>
    <x v="6"/>
    <x v="1"/>
    <n v="8"/>
    <n v="57934.99"/>
    <n v="5"/>
    <n v="440305.91999999998"/>
    <n v="349726.59"/>
    <n v="90579.33"/>
    <n v="0.20571908276863504"/>
  </r>
  <r>
    <s v="ORD0925"/>
    <s v="2025-08-29"/>
    <x v="1"/>
    <s v="Q3"/>
    <x v="1"/>
    <x v="4"/>
    <s v="Customer 4"/>
    <x v="6"/>
    <x v="1"/>
    <n v="1"/>
    <n v="65519.01"/>
    <n v="5"/>
    <n v="62243.06"/>
    <n v="44805.19"/>
    <n v="17437.87"/>
    <n v="0.28015765934386899"/>
  </r>
  <r>
    <s v="ORD0959"/>
    <s v="2025-08-09"/>
    <x v="1"/>
    <s v="Q3"/>
    <x v="0"/>
    <x v="4"/>
    <s v="Customer 41"/>
    <x v="8"/>
    <x v="3"/>
    <n v="1"/>
    <n v="1539.54"/>
    <n v="5"/>
    <n v="1462.56"/>
    <n v="1070.74"/>
    <n v="391.82"/>
    <n v="0.26790012033694344"/>
  </r>
  <r>
    <s v="ORD0016"/>
    <s v="2025-12-06"/>
    <x v="2"/>
    <s v="Q4"/>
    <x v="1"/>
    <x v="4"/>
    <s v="Customer 47"/>
    <x v="5"/>
    <x v="1"/>
    <n v="3"/>
    <n v="856.38"/>
    <n v="5"/>
    <n v="2440.6799999999998"/>
    <n v="1704.51"/>
    <n v="736.17"/>
    <n v="0.3016249569792025"/>
  </r>
  <r>
    <s v="ORD0033"/>
    <s v="2025-12-21"/>
    <x v="2"/>
    <s v="Q4"/>
    <x v="2"/>
    <x v="1"/>
    <s v="Customer 20"/>
    <x v="9"/>
    <x v="3"/>
    <n v="7"/>
    <n v="535.79999999999995"/>
    <n v="5"/>
    <n v="3563.07"/>
    <n v="2950.76"/>
    <n v="612.30999999999995"/>
    <n v="0.17184899538880793"/>
  </r>
  <r>
    <s v="ORD0044"/>
    <s v="2025-12-20"/>
    <x v="2"/>
    <s v="Q4"/>
    <x v="2"/>
    <x v="4"/>
    <s v="Customer 36"/>
    <x v="0"/>
    <x v="0"/>
    <n v="1"/>
    <n v="27.39"/>
    <n v="5"/>
    <n v="26.02"/>
    <n v="19.04"/>
    <n v="6.98"/>
    <n v="0.26825518831667949"/>
  </r>
  <r>
    <s v="ORD0047"/>
    <s v="2025-12-04"/>
    <x v="2"/>
    <s v="Q4"/>
    <x v="0"/>
    <x v="4"/>
    <s v="Customer 19"/>
    <x v="6"/>
    <x v="1"/>
    <n v="7"/>
    <n v="56001.120000000003"/>
    <n v="5"/>
    <n v="372407.45"/>
    <n v="255847.03"/>
    <n v="116560.42"/>
    <n v="0.31299164396415807"/>
  </r>
  <r>
    <s v="ORD0059"/>
    <s v="2025-12-07"/>
    <x v="2"/>
    <s v="Q4"/>
    <x v="0"/>
    <x v="0"/>
    <s v="Customer 27"/>
    <x v="3"/>
    <x v="0"/>
    <n v="7"/>
    <n v="118.7"/>
    <n v="5"/>
    <n v="789.35"/>
    <n v="552.08000000000004"/>
    <n v="237.27"/>
    <n v="0.30058909229112563"/>
  </r>
  <r>
    <s v="ORD0092"/>
    <s v="2025-12-19"/>
    <x v="2"/>
    <s v="Q4"/>
    <x v="1"/>
    <x v="1"/>
    <s v="Customer 10"/>
    <x v="0"/>
    <x v="0"/>
    <n v="8"/>
    <n v="31.66"/>
    <n v="5"/>
    <n v="240.62"/>
    <n v="204.11"/>
    <n v="36.51"/>
    <n v="0.15173302302385502"/>
  </r>
  <r>
    <s v="ORD0221"/>
    <s v="2025-12-13"/>
    <x v="2"/>
    <s v="Q4"/>
    <x v="3"/>
    <x v="1"/>
    <s v="Customer 15"/>
    <x v="2"/>
    <x v="2"/>
    <n v="8"/>
    <n v="4433.74"/>
    <n v="5"/>
    <n v="33696.42"/>
    <n v="25089.85"/>
    <n v="8606.57"/>
    <n v="0.25541496693120513"/>
  </r>
  <r>
    <s v="ORD0305"/>
    <s v="2025-12-28"/>
    <x v="2"/>
    <s v="Q4"/>
    <x v="1"/>
    <x v="5"/>
    <s v="Customer 30"/>
    <x v="2"/>
    <x v="2"/>
    <n v="2"/>
    <n v="4706.66"/>
    <n v="5"/>
    <n v="8942.65"/>
    <n v="5639.02"/>
    <n v="3303.63"/>
    <n v="0.3694240521545627"/>
  </r>
  <r>
    <s v="ORD0405"/>
    <s v="2025-12-05"/>
    <x v="2"/>
    <s v="Q4"/>
    <x v="3"/>
    <x v="2"/>
    <s v="Customer 10"/>
    <x v="6"/>
    <x v="1"/>
    <n v="8"/>
    <n v="59946.42"/>
    <n v="5"/>
    <n v="455592.79"/>
    <n v="274407.37"/>
    <n v="181185.42"/>
    <n v="0.39769158770049901"/>
  </r>
  <r>
    <s v="ORD0426"/>
    <s v="2025-12-17"/>
    <x v="2"/>
    <s v="Q4"/>
    <x v="1"/>
    <x v="0"/>
    <s v="Customer 22"/>
    <x v="7"/>
    <x v="2"/>
    <n v="3"/>
    <n v="8709.27"/>
    <n v="5"/>
    <n v="24821.42"/>
    <n v="19082.599999999999"/>
    <n v="5738.82"/>
    <n v="0.23120433883315297"/>
  </r>
  <r>
    <s v="ORD0492"/>
    <s v="2025-12-16"/>
    <x v="2"/>
    <s v="Q4"/>
    <x v="2"/>
    <x v="4"/>
    <s v="Customer 21"/>
    <x v="0"/>
    <x v="0"/>
    <n v="3"/>
    <n v="30.29"/>
    <n v="5"/>
    <n v="86.33"/>
    <n v="73.150000000000006"/>
    <n v="13.18"/>
    <n v="0.15266998725819531"/>
  </r>
  <r>
    <s v="ORD0528"/>
    <s v="2025-12-22"/>
    <x v="2"/>
    <s v="Q4"/>
    <x v="0"/>
    <x v="5"/>
    <s v="Customer 11"/>
    <x v="8"/>
    <x v="3"/>
    <n v="6"/>
    <n v="1486.04"/>
    <n v="5"/>
    <n v="8470.43"/>
    <n v="6610.69"/>
    <n v="1859.74"/>
    <n v="0.21955674033077424"/>
  </r>
  <r>
    <s v="ORD0553"/>
    <s v="2025-12-15"/>
    <x v="2"/>
    <s v="Q4"/>
    <x v="2"/>
    <x v="1"/>
    <s v="Customer 16"/>
    <x v="0"/>
    <x v="0"/>
    <n v="3"/>
    <n v="31.75"/>
    <n v="5"/>
    <n v="90.49"/>
    <n v="58.28"/>
    <n v="32.21"/>
    <n v="0.35595093380484033"/>
  </r>
  <r>
    <s v="ORD0667"/>
    <s v="2025-12-08"/>
    <x v="2"/>
    <s v="Q4"/>
    <x v="0"/>
    <x v="1"/>
    <s v="Customer 36"/>
    <x v="5"/>
    <x v="1"/>
    <n v="1"/>
    <n v="975.19"/>
    <n v="5"/>
    <n v="926.43"/>
    <n v="696.94"/>
    <n v="229.49"/>
    <n v="0.24771434431095715"/>
  </r>
  <r>
    <s v="ORD0782"/>
    <s v="2025-12-20"/>
    <x v="2"/>
    <s v="Q4"/>
    <x v="0"/>
    <x v="4"/>
    <s v="Customer 25"/>
    <x v="4"/>
    <x v="1"/>
    <n v="8"/>
    <n v="2627.24"/>
    <n v="5"/>
    <n v="19967.02"/>
    <n v="13274.15"/>
    <n v="6692.87"/>
    <n v="0.33519623859744718"/>
  </r>
  <r>
    <s v="ORD0797"/>
    <s v="2025-12-16"/>
    <x v="2"/>
    <s v="Q4"/>
    <x v="3"/>
    <x v="2"/>
    <s v="Customer 37"/>
    <x v="5"/>
    <x v="1"/>
    <n v="7"/>
    <n v="904.03"/>
    <n v="5"/>
    <n v="6011.8"/>
    <n v="4767.1400000000003"/>
    <n v="1244.6600000000001"/>
    <n v="0.20703616221431187"/>
  </r>
  <r>
    <s v="ORD0978"/>
    <s v="2025-12-21"/>
    <x v="2"/>
    <s v="Q4"/>
    <x v="3"/>
    <x v="5"/>
    <s v="Customer 47"/>
    <x v="8"/>
    <x v="3"/>
    <n v="7"/>
    <n v="1561.69"/>
    <n v="5"/>
    <n v="10385.24"/>
    <n v="8801.9599999999991"/>
    <n v="1583.28"/>
    <n v="0.15245483012429178"/>
  </r>
  <r>
    <s v="ORD0121"/>
    <s v="2025-02-11"/>
    <x v="3"/>
    <s v="Q1"/>
    <x v="2"/>
    <x v="3"/>
    <s v="Customer 30"/>
    <x v="3"/>
    <x v="0"/>
    <n v="2"/>
    <n v="116.67"/>
    <n v="5"/>
    <n v="221.67"/>
    <n v="184.41"/>
    <n v="37.26"/>
    <n v="0.16808769792935443"/>
  </r>
  <r>
    <s v="ORD0226"/>
    <s v="2025-02-03"/>
    <x v="3"/>
    <s v="Q1"/>
    <x v="1"/>
    <x v="3"/>
    <s v="Customer 38"/>
    <x v="6"/>
    <x v="1"/>
    <n v="4"/>
    <n v="65964.289999999994"/>
    <n v="5"/>
    <n v="250664.3"/>
    <n v="144407.87"/>
    <n v="106256.43"/>
    <n v="0.42389933468786739"/>
  </r>
  <r>
    <s v="ORD0242"/>
    <s v="2025-02-13"/>
    <x v="3"/>
    <s v="Q1"/>
    <x v="1"/>
    <x v="2"/>
    <s v="Customer 26"/>
    <x v="9"/>
    <x v="3"/>
    <n v="4"/>
    <n v="509.47"/>
    <n v="5"/>
    <n v="1935.99"/>
    <n v="1596.97"/>
    <n v="339.02"/>
    <n v="0.17511454088089298"/>
  </r>
  <r>
    <s v="ORD0314"/>
    <s v="2025-02-24"/>
    <x v="3"/>
    <s v="Q1"/>
    <x v="1"/>
    <x v="2"/>
    <s v="Customer 11"/>
    <x v="4"/>
    <x v="1"/>
    <n v="2"/>
    <n v="2296.0500000000002"/>
    <n v="5"/>
    <n v="4362.49"/>
    <n v="2513.23"/>
    <n v="1849.26"/>
    <n v="0.4239001120919475"/>
  </r>
  <r>
    <s v="ORD0331"/>
    <s v="2025-02-04"/>
    <x v="3"/>
    <s v="Q1"/>
    <x v="0"/>
    <x v="5"/>
    <s v="Customer 7"/>
    <x v="0"/>
    <x v="0"/>
    <n v="2"/>
    <n v="31.98"/>
    <n v="5"/>
    <n v="60.76"/>
    <n v="42.28"/>
    <n v="18.48"/>
    <n v="0.30414746543778803"/>
  </r>
  <r>
    <s v="ORD0346"/>
    <s v="2025-02-19"/>
    <x v="3"/>
    <s v="Q1"/>
    <x v="0"/>
    <x v="3"/>
    <s v="Customer 37"/>
    <x v="8"/>
    <x v="3"/>
    <n v="2"/>
    <n v="1582.49"/>
    <n v="5"/>
    <n v="3006.73"/>
    <n v="1750.32"/>
    <n v="1256.4100000000001"/>
    <n v="0.41786592078437373"/>
  </r>
  <r>
    <s v="ORD0572"/>
    <s v="2025-02-27"/>
    <x v="3"/>
    <s v="Q1"/>
    <x v="1"/>
    <x v="1"/>
    <s v="Customer 25"/>
    <x v="7"/>
    <x v="2"/>
    <n v="2"/>
    <n v="7630.3"/>
    <n v="5"/>
    <n v="14497.57"/>
    <n v="8474.98"/>
    <n v="6022.59"/>
    <n v="0.415420653254304"/>
  </r>
  <r>
    <s v="ORD0658"/>
    <s v="2025-02-26"/>
    <x v="3"/>
    <s v="Q1"/>
    <x v="0"/>
    <x v="1"/>
    <s v="Customer 40"/>
    <x v="3"/>
    <x v="0"/>
    <n v="6"/>
    <n v="109.76"/>
    <n v="5"/>
    <n v="625.63"/>
    <n v="431.45"/>
    <n v="194.18"/>
    <n v="0.31037514185700815"/>
  </r>
  <r>
    <s v="ORD0721"/>
    <s v="2025-02-06"/>
    <x v="3"/>
    <s v="Q1"/>
    <x v="0"/>
    <x v="0"/>
    <s v="Customer 34"/>
    <x v="8"/>
    <x v="3"/>
    <n v="2"/>
    <n v="1352.1"/>
    <n v="5"/>
    <n v="2568.9899999999998"/>
    <n v="1452.4"/>
    <n v="1116.5899999999999"/>
    <n v="0.43464162958983882"/>
  </r>
  <r>
    <s v="ORD0836"/>
    <s v="2025-02-15"/>
    <x v="3"/>
    <s v="Q1"/>
    <x v="3"/>
    <x v="4"/>
    <s v="Customer 33"/>
    <x v="5"/>
    <x v="1"/>
    <n v="5"/>
    <n v="879.09"/>
    <n v="5"/>
    <n v="4175.68"/>
    <n v="2706.05"/>
    <n v="1469.63"/>
    <n v="0.35194986205839529"/>
  </r>
  <r>
    <s v="ORD0838"/>
    <s v="2025-02-06"/>
    <x v="3"/>
    <s v="Q1"/>
    <x v="3"/>
    <x v="1"/>
    <s v="Customer 30"/>
    <x v="0"/>
    <x v="0"/>
    <n v="7"/>
    <n v="32.07"/>
    <n v="5"/>
    <n v="213.27"/>
    <n v="156.62"/>
    <n v="56.65"/>
    <n v="0.26562573263937728"/>
  </r>
  <r>
    <s v="ORD0882"/>
    <s v="2025-02-27"/>
    <x v="3"/>
    <s v="Q1"/>
    <x v="2"/>
    <x v="1"/>
    <s v="Customer 6"/>
    <x v="6"/>
    <x v="1"/>
    <n v="1"/>
    <n v="60304.55"/>
    <n v="5"/>
    <n v="57289.32"/>
    <n v="32602.15"/>
    <n v="24687.17"/>
    <n v="0.43092098143249036"/>
  </r>
  <r>
    <s v="ORD0949"/>
    <s v="2025-02-21"/>
    <x v="3"/>
    <s v="Q1"/>
    <x v="0"/>
    <x v="0"/>
    <s v="Customer 50"/>
    <x v="4"/>
    <x v="1"/>
    <n v="1"/>
    <n v="2293.1999999999998"/>
    <n v="5"/>
    <n v="2178.54"/>
    <n v="1222.5999999999999"/>
    <n v="955.94"/>
    <n v="0.43879846135485234"/>
  </r>
  <r>
    <s v="ORD0014"/>
    <s v="2025-01-07"/>
    <x v="4"/>
    <s v="Q1"/>
    <x v="1"/>
    <x v="4"/>
    <s v="Customer 24"/>
    <x v="2"/>
    <x v="2"/>
    <n v="2"/>
    <n v="4340.83"/>
    <n v="5"/>
    <n v="8247.58"/>
    <n v="6685.39"/>
    <n v="1562.19"/>
    <n v="0.18941192446754079"/>
  </r>
  <r>
    <s v="ORD0054"/>
    <s v="2025-01-26"/>
    <x v="4"/>
    <s v="Q1"/>
    <x v="2"/>
    <x v="3"/>
    <s v="Customer 31"/>
    <x v="1"/>
    <x v="1"/>
    <n v="4"/>
    <n v="27285.71"/>
    <n v="5"/>
    <n v="103685.7"/>
    <n v="80781.460000000006"/>
    <n v="22904.240000000002"/>
    <n v="0.2209006642188846"/>
  </r>
  <r>
    <s v="ORD0107"/>
    <s v="2025-01-13"/>
    <x v="4"/>
    <s v="Q1"/>
    <x v="2"/>
    <x v="3"/>
    <s v="Customer 41"/>
    <x v="2"/>
    <x v="2"/>
    <n v="8"/>
    <n v="4243.18"/>
    <n v="5"/>
    <n v="32248.17"/>
    <n v="20100.740000000002"/>
    <n v="12147.43"/>
    <n v="0.37668587085716804"/>
  </r>
  <r>
    <s v="ORD0205"/>
    <s v="2025-01-03"/>
    <x v="4"/>
    <s v="Q1"/>
    <x v="0"/>
    <x v="1"/>
    <s v="Customer 33"/>
    <x v="2"/>
    <x v="2"/>
    <n v="4"/>
    <n v="4388.42"/>
    <n v="5"/>
    <n v="16676"/>
    <n v="10284.219999999999"/>
    <n v="6391.78"/>
    <n v="0.3832921563924202"/>
  </r>
  <r>
    <s v="ORD0219"/>
    <s v="2025-01-25"/>
    <x v="4"/>
    <s v="Q1"/>
    <x v="0"/>
    <x v="3"/>
    <s v="Customer 13"/>
    <x v="2"/>
    <x v="2"/>
    <n v="1"/>
    <n v="4767.3500000000004"/>
    <n v="5"/>
    <n v="4528.9799999999996"/>
    <n v="2898.89"/>
    <n v="1630.09"/>
    <n v="0.35992430966796057"/>
  </r>
  <r>
    <s v="ORD0244"/>
    <s v="2025-01-10"/>
    <x v="4"/>
    <s v="Q1"/>
    <x v="2"/>
    <x v="5"/>
    <s v="Customer 4"/>
    <x v="2"/>
    <x v="2"/>
    <n v="7"/>
    <n v="4354.49"/>
    <n v="5"/>
    <n v="28957.360000000001"/>
    <n v="18982.14"/>
    <n v="9975.2199999999993"/>
    <n v="0.3444796072570151"/>
  </r>
  <r>
    <s v="ORD0322"/>
    <s v="2025-01-01"/>
    <x v="4"/>
    <s v="Q1"/>
    <x v="2"/>
    <x v="4"/>
    <s v="Customer 36"/>
    <x v="8"/>
    <x v="3"/>
    <n v="3"/>
    <n v="1408.27"/>
    <n v="5"/>
    <n v="4013.57"/>
    <n v="2764.35"/>
    <n v="1249.22"/>
    <n v="0.31124908747075547"/>
  </r>
  <r>
    <s v="ORD0438"/>
    <s v="2025-01-20"/>
    <x v="4"/>
    <s v="Q1"/>
    <x v="3"/>
    <x v="3"/>
    <s v="Customer 4"/>
    <x v="7"/>
    <x v="2"/>
    <n v="4"/>
    <n v="8500.4500000000007"/>
    <n v="5"/>
    <n v="32301.71"/>
    <n v="17945.939999999999"/>
    <n v="14355.77"/>
    <n v="0.44442755507370973"/>
  </r>
  <r>
    <s v="ORD0559"/>
    <s v="2025-01-22"/>
    <x v="4"/>
    <s v="Q1"/>
    <x v="3"/>
    <x v="5"/>
    <s v="Customer 32"/>
    <x v="4"/>
    <x v="1"/>
    <n v="2"/>
    <n v="2513.0700000000002"/>
    <n v="5"/>
    <n v="4774.83"/>
    <n v="2779.28"/>
    <n v="1995.55"/>
    <n v="0.4179311095892419"/>
  </r>
  <r>
    <s v="ORD0596"/>
    <s v="2025-01-20"/>
    <x v="4"/>
    <s v="Q1"/>
    <x v="3"/>
    <x v="3"/>
    <s v="Customer 13"/>
    <x v="0"/>
    <x v="0"/>
    <n v="6"/>
    <n v="30.99"/>
    <n v="5"/>
    <n v="176.64"/>
    <n v="109.84"/>
    <n v="66.8"/>
    <n v="0.37817028985507245"/>
  </r>
  <r>
    <s v="ORD0662"/>
    <s v="2025-01-22"/>
    <x v="4"/>
    <s v="Q1"/>
    <x v="0"/>
    <x v="3"/>
    <s v="Customer 20"/>
    <x v="0"/>
    <x v="0"/>
    <n v="5"/>
    <n v="31.18"/>
    <n v="5"/>
    <n v="148.1"/>
    <n v="95.24"/>
    <n v="52.86"/>
    <n v="0.35692099932478055"/>
  </r>
  <r>
    <s v="ORD0718"/>
    <s v="2025-01-23"/>
    <x v="4"/>
    <s v="Q1"/>
    <x v="0"/>
    <x v="5"/>
    <s v="Customer 12"/>
    <x v="5"/>
    <x v="1"/>
    <n v="7"/>
    <n v="926.21"/>
    <n v="5"/>
    <n v="6159.3"/>
    <n v="3684.55"/>
    <n v="2474.75"/>
    <n v="0.40179078791421102"/>
  </r>
  <r>
    <s v="ORD0746"/>
    <s v="2025-01-03"/>
    <x v="4"/>
    <s v="Q1"/>
    <x v="2"/>
    <x v="3"/>
    <s v="Customer 28"/>
    <x v="4"/>
    <x v="1"/>
    <n v="3"/>
    <n v="2508.16"/>
    <n v="5"/>
    <n v="7148.26"/>
    <n v="4372.53"/>
    <n v="2775.73"/>
    <n v="0.38830848346310848"/>
  </r>
  <r>
    <s v="ORD0760"/>
    <s v="2025-01-22"/>
    <x v="4"/>
    <s v="Q1"/>
    <x v="2"/>
    <x v="1"/>
    <s v="Customer 45"/>
    <x v="7"/>
    <x v="2"/>
    <n v="1"/>
    <n v="7652.95"/>
    <n v="5"/>
    <n v="7270.3"/>
    <n v="5497.34"/>
    <n v="1772.96"/>
    <n v="0.24386338940621433"/>
  </r>
  <r>
    <s v="ORD0772"/>
    <s v="2025-01-23"/>
    <x v="4"/>
    <s v="Q1"/>
    <x v="1"/>
    <x v="2"/>
    <s v="Customer 11"/>
    <x v="5"/>
    <x v="1"/>
    <n v="3"/>
    <n v="903.77"/>
    <n v="5"/>
    <n v="2575.7399999999998"/>
    <n v="2044.33"/>
    <n v="531.41"/>
    <n v="0.20631352543346768"/>
  </r>
  <r>
    <s v="ORD0854"/>
    <s v="2025-01-11"/>
    <x v="4"/>
    <s v="Q1"/>
    <x v="1"/>
    <x v="2"/>
    <s v="Customer 36"/>
    <x v="7"/>
    <x v="2"/>
    <n v="6"/>
    <n v="7802.29"/>
    <n v="5"/>
    <n v="44473.05"/>
    <n v="29011.96"/>
    <n v="15461.09"/>
    <n v="0.34765076827426944"/>
  </r>
  <r>
    <s v="ORD0878"/>
    <s v="2025-01-06"/>
    <x v="4"/>
    <s v="Q1"/>
    <x v="1"/>
    <x v="4"/>
    <s v="Customer 45"/>
    <x v="0"/>
    <x v="0"/>
    <n v="6"/>
    <n v="27.49"/>
    <n v="5"/>
    <n v="156.69"/>
    <n v="108.51"/>
    <n v="48.18"/>
    <n v="0.30748611908864637"/>
  </r>
  <r>
    <s v="ORD0058"/>
    <s v="2025-07-18"/>
    <x v="5"/>
    <s v="Q3"/>
    <x v="1"/>
    <x v="3"/>
    <s v="Customer 2"/>
    <x v="6"/>
    <x v="1"/>
    <n v="7"/>
    <n v="58192.66"/>
    <n v="5"/>
    <n v="386981.19"/>
    <n v="262728.03999999998"/>
    <n v="124253.15"/>
    <n v="0.32108317719525331"/>
  </r>
  <r>
    <s v="ORD0072"/>
    <s v="2025-07-01"/>
    <x v="5"/>
    <s v="Q3"/>
    <x v="2"/>
    <x v="3"/>
    <s v="Customer 25"/>
    <x v="5"/>
    <x v="1"/>
    <n v="7"/>
    <n v="854.42"/>
    <n v="5"/>
    <n v="5681.89"/>
    <n v="3145.44"/>
    <n v="2536.4499999999998"/>
    <n v="0.4464095573831946"/>
  </r>
  <r>
    <s v="ORD0200"/>
    <s v="2025-07-09"/>
    <x v="5"/>
    <s v="Q3"/>
    <x v="3"/>
    <x v="2"/>
    <s v="Customer 30"/>
    <x v="9"/>
    <x v="3"/>
    <n v="6"/>
    <n v="481.63"/>
    <n v="5"/>
    <n v="2745.29"/>
    <n v="2214.67"/>
    <n v="530.62"/>
    <n v="0.19328376965639332"/>
  </r>
  <r>
    <s v="ORD0213"/>
    <s v="2025-07-06"/>
    <x v="5"/>
    <s v="Q3"/>
    <x v="3"/>
    <x v="1"/>
    <s v="Customer 13"/>
    <x v="6"/>
    <x v="1"/>
    <n v="8"/>
    <n v="64181.08"/>
    <n v="5"/>
    <n v="487776.21"/>
    <n v="392025.12"/>
    <n v="95751.09"/>
    <n v="0.19630127102754763"/>
  </r>
  <r>
    <s v="ORD0215"/>
    <s v="2025-07-11"/>
    <x v="5"/>
    <s v="Q3"/>
    <x v="2"/>
    <x v="2"/>
    <s v="Customer 43"/>
    <x v="5"/>
    <x v="1"/>
    <n v="3"/>
    <n v="884.44"/>
    <n v="5"/>
    <n v="2520.65"/>
    <n v="1762.59"/>
    <n v="758.06"/>
    <n v="0.30073988852081801"/>
  </r>
  <r>
    <s v="ORD0217"/>
    <s v="2025-07-15"/>
    <x v="5"/>
    <s v="Q3"/>
    <x v="3"/>
    <x v="4"/>
    <s v="Customer 22"/>
    <x v="3"/>
    <x v="0"/>
    <n v="1"/>
    <n v="109.48"/>
    <n v="5"/>
    <n v="104.01"/>
    <n v="75.48"/>
    <n v="28.53"/>
    <n v="0.27430054802422843"/>
  </r>
  <r>
    <s v="ORD0257"/>
    <s v="2025-07-18"/>
    <x v="5"/>
    <s v="Q3"/>
    <x v="3"/>
    <x v="3"/>
    <s v="Customer 3"/>
    <x v="5"/>
    <x v="1"/>
    <n v="3"/>
    <n v="855.12"/>
    <n v="5"/>
    <n v="2437.09"/>
    <n v="1934.44"/>
    <n v="502.65"/>
    <n v="0.20625007693601793"/>
  </r>
  <r>
    <s v="ORD0361"/>
    <s v="2025-07-28"/>
    <x v="5"/>
    <s v="Q3"/>
    <x v="3"/>
    <x v="0"/>
    <s v="Customer 25"/>
    <x v="4"/>
    <x v="1"/>
    <n v="7"/>
    <n v="2690.88"/>
    <n v="5"/>
    <n v="17894.349999999999"/>
    <n v="11307.77"/>
    <n v="6586.58"/>
    <n v="0.36808154529222914"/>
  </r>
  <r>
    <s v="ORD0423"/>
    <s v="2025-07-16"/>
    <x v="5"/>
    <s v="Q3"/>
    <x v="3"/>
    <x v="2"/>
    <s v="Customer 6"/>
    <x v="5"/>
    <x v="1"/>
    <n v="8"/>
    <n v="846.5"/>
    <n v="5"/>
    <n v="6433.4"/>
    <n v="4483.83"/>
    <n v="1949.57"/>
    <n v="0.30303882861317499"/>
  </r>
  <r>
    <s v="ORD0437"/>
    <s v="2025-07-14"/>
    <x v="5"/>
    <s v="Q3"/>
    <x v="3"/>
    <x v="4"/>
    <s v="Customer 27"/>
    <x v="6"/>
    <x v="1"/>
    <n v="3"/>
    <n v="59067.54"/>
    <n v="5"/>
    <n v="168342.49"/>
    <n v="137481.22"/>
    <n v="30861.27"/>
    <n v="0.18332430511156156"/>
  </r>
  <r>
    <s v="ORD0475"/>
    <s v="2025-07-08"/>
    <x v="5"/>
    <s v="Q3"/>
    <x v="0"/>
    <x v="2"/>
    <s v="Customer 26"/>
    <x v="5"/>
    <x v="1"/>
    <n v="1"/>
    <n v="969.49"/>
    <n v="5"/>
    <n v="921.02"/>
    <n v="701.9"/>
    <n v="219.12"/>
    <n v="0.23791014310221278"/>
  </r>
  <r>
    <s v="ORD0508"/>
    <s v="2025-07-09"/>
    <x v="5"/>
    <s v="Q3"/>
    <x v="2"/>
    <x v="5"/>
    <s v="Customer 42"/>
    <x v="2"/>
    <x v="2"/>
    <n v="3"/>
    <n v="4191.1400000000003"/>
    <n v="5"/>
    <n v="11944.75"/>
    <n v="8637.83"/>
    <n v="3306.92"/>
    <n v="0.27685133636116288"/>
  </r>
  <r>
    <s v="ORD0581"/>
    <s v="2025-07-29"/>
    <x v="5"/>
    <s v="Q3"/>
    <x v="0"/>
    <x v="1"/>
    <s v="Customer 17"/>
    <x v="6"/>
    <x v="1"/>
    <n v="7"/>
    <n v="62690.39"/>
    <n v="5"/>
    <n v="416891.09"/>
    <n v="328523.03000000003"/>
    <n v="88368.06"/>
    <n v="0.21196917401137066"/>
  </r>
  <r>
    <s v="ORD0610"/>
    <s v="2025-07-08"/>
    <x v="5"/>
    <s v="Q3"/>
    <x v="3"/>
    <x v="3"/>
    <s v="Customer 1"/>
    <x v="1"/>
    <x v="1"/>
    <n v="4"/>
    <n v="24919.39"/>
    <n v="5"/>
    <n v="94693.68"/>
    <n v="79132.210000000006"/>
    <n v="15561.47"/>
    <n v="0.16433483206059793"/>
  </r>
  <r>
    <s v="ORD0682"/>
    <s v="2025-07-15"/>
    <x v="5"/>
    <s v="Q3"/>
    <x v="3"/>
    <x v="5"/>
    <s v="Customer 7"/>
    <x v="9"/>
    <x v="3"/>
    <n v="7"/>
    <n v="473.65"/>
    <n v="5"/>
    <n v="3149.77"/>
    <n v="2047.68"/>
    <n v="1102.0899999999999"/>
    <n v="0.34989538918714697"/>
  </r>
  <r>
    <s v="ORD0910"/>
    <s v="2025-07-07"/>
    <x v="5"/>
    <s v="Q3"/>
    <x v="3"/>
    <x v="4"/>
    <s v="Customer 34"/>
    <x v="5"/>
    <x v="1"/>
    <n v="6"/>
    <n v="852.34"/>
    <n v="5"/>
    <n v="4858.34"/>
    <n v="2710.36"/>
    <n v="2147.98"/>
    <n v="0.44212220635031718"/>
  </r>
  <r>
    <s v="ORD0939"/>
    <s v="2025-07-18"/>
    <x v="5"/>
    <s v="Q3"/>
    <x v="3"/>
    <x v="3"/>
    <s v="Customer 30"/>
    <x v="4"/>
    <x v="1"/>
    <n v="2"/>
    <n v="2359.23"/>
    <n v="5"/>
    <n v="4482.54"/>
    <n v="2795.95"/>
    <n v="1686.59"/>
    <n v="0.37625765748883444"/>
  </r>
  <r>
    <s v="ORD0992"/>
    <s v="2025-07-24"/>
    <x v="5"/>
    <s v="Q3"/>
    <x v="3"/>
    <x v="1"/>
    <s v="Customer 4"/>
    <x v="9"/>
    <x v="3"/>
    <n v="2"/>
    <n v="477.12"/>
    <n v="5"/>
    <n v="906.53"/>
    <n v="609.33000000000004"/>
    <n v="297.2"/>
    <n v="0.32784353523876758"/>
  </r>
  <r>
    <s v="ORD0119"/>
    <s v="2025-06-03"/>
    <x v="6"/>
    <s v="Q2"/>
    <x v="0"/>
    <x v="5"/>
    <s v="Customer 38"/>
    <x v="3"/>
    <x v="0"/>
    <n v="5"/>
    <n v="113.54"/>
    <n v="5"/>
    <n v="539.32000000000005"/>
    <n v="374.16"/>
    <n v="165.16"/>
    <n v="0.30623748423941255"/>
  </r>
  <r>
    <s v="ORD0134"/>
    <s v="2025-06-25"/>
    <x v="6"/>
    <s v="Q2"/>
    <x v="3"/>
    <x v="5"/>
    <s v="Customer 32"/>
    <x v="6"/>
    <x v="1"/>
    <n v="5"/>
    <n v="63809.120000000003"/>
    <n v="5"/>
    <n v="303093.32"/>
    <n v="182215.54"/>
    <n v="120877.78"/>
    <n v="0.39881373829024008"/>
  </r>
  <r>
    <s v="ORD0174"/>
    <s v="2025-06-15"/>
    <x v="6"/>
    <s v="Q2"/>
    <x v="1"/>
    <x v="3"/>
    <s v="Customer 38"/>
    <x v="9"/>
    <x v="3"/>
    <n v="7"/>
    <n v="506.38"/>
    <n v="5"/>
    <n v="3367.43"/>
    <n v="2301.69"/>
    <n v="1065.74"/>
    <n v="0.31648467822642196"/>
  </r>
  <r>
    <s v="ORD0201"/>
    <s v="2025-06-14"/>
    <x v="6"/>
    <s v="Q2"/>
    <x v="3"/>
    <x v="1"/>
    <s v="Customer 8"/>
    <x v="0"/>
    <x v="0"/>
    <n v="4"/>
    <n v="29.02"/>
    <n v="5"/>
    <n v="110.28"/>
    <n v="91.3"/>
    <n v="18.98"/>
    <n v="0.17210736307580704"/>
  </r>
  <r>
    <s v="ORD0218"/>
    <s v="2025-06-20"/>
    <x v="6"/>
    <s v="Q2"/>
    <x v="3"/>
    <x v="1"/>
    <s v="Customer 21"/>
    <x v="6"/>
    <x v="1"/>
    <n v="3"/>
    <n v="63673.84"/>
    <n v="5"/>
    <n v="181470.44"/>
    <n v="127800.67"/>
    <n v="53669.77"/>
    <n v="0.29574937934795331"/>
  </r>
  <r>
    <s v="ORD0220"/>
    <s v="2025-06-16"/>
    <x v="6"/>
    <s v="Q2"/>
    <x v="3"/>
    <x v="5"/>
    <s v="Customer 29"/>
    <x v="8"/>
    <x v="3"/>
    <n v="3"/>
    <n v="1520.1"/>
    <n v="5"/>
    <n v="4332.28"/>
    <n v="2416.85"/>
    <n v="1915.43"/>
    <n v="0.44212977923864571"/>
  </r>
  <r>
    <s v="ORD0284"/>
    <s v="2025-06-04"/>
    <x v="6"/>
    <s v="Q2"/>
    <x v="3"/>
    <x v="3"/>
    <s v="Customer 21"/>
    <x v="8"/>
    <x v="3"/>
    <n v="3"/>
    <n v="1512.37"/>
    <n v="5"/>
    <n v="4310.25"/>
    <n v="2472.42"/>
    <n v="1837.83"/>
    <n v="0.42638594049069078"/>
  </r>
  <r>
    <s v="ORD0350"/>
    <s v="2025-06-24"/>
    <x v="6"/>
    <s v="Q2"/>
    <x v="2"/>
    <x v="1"/>
    <s v="Customer 48"/>
    <x v="1"/>
    <x v="1"/>
    <n v="5"/>
    <n v="26922.94"/>
    <n v="5"/>
    <n v="127883.96"/>
    <n v="83843.47"/>
    <n v="44040.49"/>
    <n v="0.34437852878500164"/>
  </r>
  <r>
    <s v="ORD0376"/>
    <s v="2025-06-21"/>
    <x v="6"/>
    <s v="Q2"/>
    <x v="1"/>
    <x v="3"/>
    <s v="Customer 5"/>
    <x v="8"/>
    <x v="3"/>
    <n v="7"/>
    <n v="1465.76"/>
    <n v="5"/>
    <n v="9747.2999999999993"/>
    <n v="7684.22"/>
    <n v="2063.08"/>
    <n v="0.21165656130415603"/>
  </r>
  <r>
    <s v="ORD0389"/>
    <s v="2025-06-08"/>
    <x v="6"/>
    <s v="Q2"/>
    <x v="0"/>
    <x v="3"/>
    <s v="Customer 24"/>
    <x v="9"/>
    <x v="3"/>
    <n v="3"/>
    <n v="539.19000000000005"/>
    <n v="5"/>
    <n v="1536.69"/>
    <n v="1100.9000000000001"/>
    <n v="435.79"/>
    <n v="0.28359005394712011"/>
  </r>
  <r>
    <s v="ORD0560"/>
    <s v="2025-06-11"/>
    <x v="6"/>
    <s v="Q2"/>
    <x v="2"/>
    <x v="5"/>
    <s v="Customer 49"/>
    <x v="7"/>
    <x v="2"/>
    <n v="5"/>
    <n v="7855.41"/>
    <n v="5"/>
    <n v="37313.199999999997"/>
    <n v="21066.720000000001"/>
    <n v="16246.48"/>
    <n v="0.43540838094829715"/>
  </r>
  <r>
    <s v="ORD0604"/>
    <s v="2025-06-17"/>
    <x v="6"/>
    <s v="Q2"/>
    <x v="3"/>
    <x v="2"/>
    <s v="Customer 16"/>
    <x v="3"/>
    <x v="0"/>
    <n v="8"/>
    <n v="121.27"/>
    <n v="5"/>
    <n v="921.65"/>
    <n v="637.21"/>
    <n v="284.44"/>
    <n v="0.30862040904898824"/>
  </r>
  <r>
    <s v="ORD0631"/>
    <s v="2025-06-22"/>
    <x v="6"/>
    <s v="Q2"/>
    <x v="1"/>
    <x v="3"/>
    <s v="Customer 47"/>
    <x v="7"/>
    <x v="2"/>
    <n v="5"/>
    <n v="7426.51"/>
    <n v="5"/>
    <n v="35275.919999999998"/>
    <n v="26032.03"/>
    <n v="9243.89"/>
    <n v="0.26204532723739027"/>
  </r>
  <r>
    <s v="ORD0646"/>
    <s v="2025-06-28"/>
    <x v="6"/>
    <s v="Q2"/>
    <x v="2"/>
    <x v="1"/>
    <s v="Customer 42"/>
    <x v="0"/>
    <x v="0"/>
    <n v="4"/>
    <n v="27.12"/>
    <n v="5"/>
    <n v="103.06"/>
    <n v="67.510000000000005"/>
    <n v="35.549999999999997"/>
    <n v="0.34494469241218706"/>
  </r>
  <r>
    <s v="ORD0666"/>
    <s v="2025-06-28"/>
    <x v="6"/>
    <s v="Q2"/>
    <x v="0"/>
    <x v="4"/>
    <s v="Customer 33"/>
    <x v="2"/>
    <x v="2"/>
    <n v="5"/>
    <n v="4797.96"/>
    <n v="5"/>
    <n v="22790.31"/>
    <n v="13258.51"/>
    <n v="9531.7999999999993"/>
    <n v="0.4182391551497105"/>
  </r>
  <r>
    <s v="ORD0759"/>
    <s v="2025-06-06"/>
    <x v="6"/>
    <s v="Q2"/>
    <x v="2"/>
    <x v="1"/>
    <s v="Customer 45"/>
    <x v="5"/>
    <x v="1"/>
    <n v="2"/>
    <n v="870.96"/>
    <n v="5"/>
    <n v="1654.82"/>
    <n v="1064.93"/>
    <n v="589.89"/>
    <n v="0.35646777292998633"/>
  </r>
  <r>
    <s v="ORD0768"/>
    <s v="2025-06-04"/>
    <x v="6"/>
    <s v="Q2"/>
    <x v="3"/>
    <x v="0"/>
    <s v="Customer 26"/>
    <x v="0"/>
    <x v="0"/>
    <n v="7"/>
    <n v="27.03"/>
    <n v="5"/>
    <n v="179.75"/>
    <n v="119.31"/>
    <n v="60.44"/>
    <n v="0.33624478442280942"/>
  </r>
  <r>
    <s v="ORD0828"/>
    <s v="2025-06-02"/>
    <x v="6"/>
    <s v="Q2"/>
    <x v="0"/>
    <x v="3"/>
    <s v="Customer 2"/>
    <x v="7"/>
    <x v="2"/>
    <n v="7"/>
    <n v="7756.81"/>
    <n v="5"/>
    <n v="51582.79"/>
    <n v="37467.78"/>
    <n v="14115.01"/>
    <n v="0.27363797111400917"/>
  </r>
  <r>
    <s v="ORD0861"/>
    <s v="2025-06-03"/>
    <x v="6"/>
    <s v="Q2"/>
    <x v="3"/>
    <x v="4"/>
    <s v="Customer 7"/>
    <x v="2"/>
    <x v="2"/>
    <n v="4"/>
    <n v="4085.47"/>
    <n v="5"/>
    <n v="15524.79"/>
    <n v="11785.03"/>
    <n v="3739.76"/>
    <n v="0.24088957080900933"/>
  </r>
  <r>
    <s v="ORD0916"/>
    <s v="2025-06-20"/>
    <x v="6"/>
    <s v="Q2"/>
    <x v="0"/>
    <x v="4"/>
    <s v="Customer 43"/>
    <x v="9"/>
    <x v="3"/>
    <n v="2"/>
    <n v="534.24"/>
    <n v="5"/>
    <n v="1015.06"/>
    <n v="764.86"/>
    <n v="250.2"/>
    <n v="0.24648789234133944"/>
  </r>
  <r>
    <s v="ORD0936"/>
    <s v="2025-06-15"/>
    <x v="6"/>
    <s v="Q2"/>
    <x v="1"/>
    <x v="3"/>
    <s v="Customer 27"/>
    <x v="0"/>
    <x v="0"/>
    <n v="6"/>
    <n v="29.5"/>
    <n v="5"/>
    <n v="168.15"/>
    <n v="112.43"/>
    <n v="55.72"/>
    <n v="0.33137079988105855"/>
  </r>
  <r>
    <s v="ORD0010"/>
    <s v="2025-03-20"/>
    <x v="7"/>
    <s v="Q1"/>
    <x v="1"/>
    <x v="2"/>
    <s v="Customer 48"/>
    <x v="6"/>
    <x v="1"/>
    <n v="6"/>
    <n v="63866.89"/>
    <n v="5"/>
    <n v="364041.27"/>
    <n v="306337.64"/>
    <n v="57703.63"/>
    <n v="0.15850848449133251"/>
  </r>
  <r>
    <s v="ORD0070"/>
    <s v="2025-03-12"/>
    <x v="7"/>
    <s v="Q1"/>
    <x v="2"/>
    <x v="2"/>
    <s v="Customer 10"/>
    <x v="3"/>
    <x v="0"/>
    <n v="8"/>
    <n v="128.12"/>
    <n v="5"/>
    <n v="973.71"/>
    <n v="688.62"/>
    <n v="285.08999999999997"/>
    <n v="0.29278738022614531"/>
  </r>
  <r>
    <s v="ORD0123"/>
    <s v="2025-03-30"/>
    <x v="7"/>
    <s v="Q1"/>
    <x v="2"/>
    <x v="0"/>
    <s v="Customer 50"/>
    <x v="4"/>
    <x v="1"/>
    <n v="8"/>
    <n v="2323.65"/>
    <n v="5"/>
    <n v="17659.740000000002"/>
    <n v="12448.06"/>
    <n v="5211.68"/>
    <n v="0.29511646264327784"/>
  </r>
  <r>
    <s v="ORD0195"/>
    <s v="2025-03-07"/>
    <x v="7"/>
    <s v="Q1"/>
    <x v="1"/>
    <x v="0"/>
    <s v="Customer 30"/>
    <x v="4"/>
    <x v="1"/>
    <n v="2"/>
    <n v="2450.4299999999998"/>
    <n v="5"/>
    <n v="4655.82"/>
    <n v="3754.65"/>
    <n v="901.17"/>
    <n v="0.19355774063430287"/>
  </r>
  <r>
    <s v="ORD0198"/>
    <s v="2025-03-13"/>
    <x v="7"/>
    <s v="Q1"/>
    <x v="0"/>
    <x v="0"/>
    <s v="Customer 30"/>
    <x v="1"/>
    <x v="1"/>
    <n v="3"/>
    <n v="25739.78"/>
    <n v="5"/>
    <n v="73358.37"/>
    <n v="44636.08"/>
    <n v="28722.29"/>
    <n v="0.39153391767019907"/>
  </r>
  <r>
    <s v="ORD0208"/>
    <s v="2025-03-20"/>
    <x v="7"/>
    <s v="Q1"/>
    <x v="2"/>
    <x v="5"/>
    <s v="Customer 12"/>
    <x v="6"/>
    <x v="1"/>
    <n v="2"/>
    <n v="64113.53"/>
    <n v="5"/>
    <n v="121815.71"/>
    <n v="89241.66"/>
    <n v="32574.05"/>
    <n v="0.26740434382396161"/>
  </r>
  <r>
    <s v="ORD0224"/>
    <s v="2025-03-10"/>
    <x v="7"/>
    <s v="Q1"/>
    <x v="2"/>
    <x v="3"/>
    <s v="Customer 9"/>
    <x v="1"/>
    <x v="1"/>
    <n v="1"/>
    <n v="24126.66"/>
    <n v="5"/>
    <n v="22920.33"/>
    <n v="18342.57"/>
    <n v="4577.76"/>
    <n v="0.19972487307119924"/>
  </r>
  <r>
    <s v="ORD0296"/>
    <s v="2025-03-30"/>
    <x v="7"/>
    <s v="Q1"/>
    <x v="2"/>
    <x v="2"/>
    <s v="Customer 26"/>
    <x v="9"/>
    <x v="3"/>
    <n v="5"/>
    <n v="526.62"/>
    <n v="5"/>
    <n v="2501.44"/>
    <n v="1493.2"/>
    <n v="1008.24"/>
    <n v="0.403063835230907"/>
  </r>
  <r>
    <s v="ORD0328"/>
    <s v="2025-03-12"/>
    <x v="7"/>
    <s v="Q1"/>
    <x v="0"/>
    <x v="2"/>
    <s v="Customer 48"/>
    <x v="5"/>
    <x v="1"/>
    <n v="1"/>
    <n v="842.2"/>
    <n v="5"/>
    <n v="800.09"/>
    <n v="610.34"/>
    <n v="189.75"/>
    <n v="0.23716081940781661"/>
  </r>
  <r>
    <s v="ORD0367"/>
    <s v="2025-03-22"/>
    <x v="7"/>
    <s v="Q1"/>
    <x v="3"/>
    <x v="5"/>
    <s v="Customer 27"/>
    <x v="1"/>
    <x v="1"/>
    <n v="5"/>
    <n v="26887.96"/>
    <n v="5"/>
    <n v="127717.81"/>
    <n v="102672.43"/>
    <n v="25045.38"/>
    <n v="0.19609935372365062"/>
  </r>
  <r>
    <s v="ORD0390"/>
    <s v="2025-03-11"/>
    <x v="7"/>
    <s v="Q1"/>
    <x v="0"/>
    <x v="5"/>
    <s v="Customer 19"/>
    <x v="3"/>
    <x v="0"/>
    <n v="5"/>
    <n v="120.97"/>
    <n v="5"/>
    <n v="574.61"/>
    <n v="413.31"/>
    <n v="161.30000000000001"/>
    <n v="0.28071213518734445"/>
  </r>
  <r>
    <s v="ORD0402"/>
    <s v="2025-03-01"/>
    <x v="7"/>
    <s v="Q1"/>
    <x v="1"/>
    <x v="2"/>
    <s v="Customer 48"/>
    <x v="3"/>
    <x v="0"/>
    <n v="8"/>
    <n v="131.13"/>
    <n v="5"/>
    <n v="996.59"/>
    <n v="590.16999999999996"/>
    <n v="406.42"/>
    <n v="0.40781063426283626"/>
  </r>
  <r>
    <s v="ORD0442"/>
    <s v="2025-03-02"/>
    <x v="7"/>
    <s v="Q1"/>
    <x v="3"/>
    <x v="3"/>
    <s v="Customer 28"/>
    <x v="7"/>
    <x v="2"/>
    <n v="7"/>
    <n v="8117.57"/>
    <n v="5"/>
    <n v="53981.84"/>
    <n v="45712.51"/>
    <n v="8269.33"/>
    <n v="0.15318725704792577"/>
  </r>
  <r>
    <s v="ORD0483"/>
    <s v="2025-03-30"/>
    <x v="7"/>
    <s v="Q1"/>
    <x v="0"/>
    <x v="1"/>
    <s v="Customer 50"/>
    <x v="5"/>
    <x v="1"/>
    <n v="3"/>
    <n v="977.52"/>
    <n v="5"/>
    <n v="2785.93"/>
    <n v="2258.73"/>
    <n v="527.20000000000005"/>
    <n v="0.18923662834313859"/>
  </r>
  <r>
    <s v="ORD0549"/>
    <s v="2025-03-24"/>
    <x v="7"/>
    <s v="Q1"/>
    <x v="3"/>
    <x v="5"/>
    <s v="Customer 9"/>
    <x v="1"/>
    <x v="1"/>
    <n v="2"/>
    <n v="23477.83"/>
    <n v="5"/>
    <n v="44607.88"/>
    <n v="25858.42"/>
    <n v="18749.46"/>
    <n v="0.42031721749610157"/>
  </r>
  <r>
    <s v="ORD0670"/>
    <s v="2025-03-07"/>
    <x v="7"/>
    <s v="Q1"/>
    <x v="2"/>
    <x v="1"/>
    <s v="Customer 15"/>
    <x v="4"/>
    <x v="1"/>
    <n v="1"/>
    <n v="2361.3000000000002"/>
    <n v="5"/>
    <n v="2243.2399999999998"/>
    <n v="1318.49"/>
    <n v="924.75"/>
    <n v="0.41223854781476799"/>
  </r>
  <r>
    <s v="ORD0727"/>
    <s v="2025-03-17"/>
    <x v="7"/>
    <s v="Q1"/>
    <x v="1"/>
    <x v="2"/>
    <s v="Customer 17"/>
    <x v="3"/>
    <x v="0"/>
    <n v="8"/>
    <n v="115.73"/>
    <n v="5"/>
    <n v="879.55"/>
    <n v="579.72"/>
    <n v="299.83"/>
    <n v="0.34089022795747825"/>
  </r>
  <r>
    <s v="ORD0728"/>
    <s v="2025-03-26"/>
    <x v="7"/>
    <s v="Q1"/>
    <x v="0"/>
    <x v="0"/>
    <s v="Customer 19"/>
    <x v="5"/>
    <x v="1"/>
    <n v="8"/>
    <n v="829.69"/>
    <n v="5"/>
    <n v="6305.64"/>
    <n v="4770.09"/>
    <n v="1535.55"/>
    <n v="0.24352008677945455"/>
  </r>
  <r>
    <s v="ORD0742"/>
    <s v="2025-03-04"/>
    <x v="7"/>
    <s v="Q1"/>
    <x v="1"/>
    <x v="4"/>
    <s v="Customer 49"/>
    <x v="8"/>
    <x v="3"/>
    <n v="6"/>
    <n v="1438.04"/>
    <n v="5"/>
    <n v="8196.83"/>
    <n v="6071.2"/>
    <n v="2125.63"/>
    <n v="0.25932342137143261"/>
  </r>
  <r>
    <s v="ORD0855"/>
    <s v="2025-03-05"/>
    <x v="7"/>
    <s v="Q1"/>
    <x v="2"/>
    <x v="1"/>
    <s v="Customer 18"/>
    <x v="0"/>
    <x v="0"/>
    <n v="6"/>
    <n v="30.46"/>
    <n v="5"/>
    <n v="173.62"/>
    <n v="145.36000000000001"/>
    <n v="28.26"/>
    <n v="0.16276926621356988"/>
  </r>
  <r>
    <s v="ORD0087"/>
    <s v="2025-05-21"/>
    <x v="8"/>
    <s v="Q2"/>
    <x v="0"/>
    <x v="3"/>
    <s v="Customer 17"/>
    <x v="1"/>
    <x v="1"/>
    <n v="3"/>
    <n v="26033.07"/>
    <n v="5"/>
    <n v="74194.25"/>
    <n v="47843.5"/>
    <n v="26350.75"/>
    <n v="0.35515892404060961"/>
  </r>
  <r>
    <s v="ORD0129"/>
    <s v="2025-05-14"/>
    <x v="8"/>
    <s v="Q2"/>
    <x v="1"/>
    <x v="1"/>
    <s v="Customer 4"/>
    <x v="9"/>
    <x v="3"/>
    <n v="5"/>
    <n v="474.94"/>
    <n v="5"/>
    <n v="2255.96"/>
    <n v="1484.51"/>
    <n v="771.45"/>
    <n v="0.34196085036968743"/>
  </r>
  <r>
    <s v="ORD0232"/>
    <s v="2025-05-13"/>
    <x v="8"/>
    <s v="Q2"/>
    <x v="0"/>
    <x v="0"/>
    <s v="Customer 9"/>
    <x v="4"/>
    <x v="1"/>
    <n v="8"/>
    <n v="2526.41"/>
    <n v="5"/>
    <n v="19200.72"/>
    <n v="12068.04"/>
    <n v="7132.68"/>
    <n v="0.3714798195067685"/>
  </r>
  <r>
    <s v="ORD0250"/>
    <s v="2025-05-08"/>
    <x v="8"/>
    <s v="Q2"/>
    <x v="3"/>
    <x v="3"/>
    <s v="Customer 2"/>
    <x v="6"/>
    <x v="1"/>
    <n v="5"/>
    <n v="65606.14"/>
    <n v="5"/>
    <n v="311629.15999999997"/>
    <n v="242321.91"/>
    <n v="69307.25"/>
    <n v="0.2224029676812016"/>
  </r>
  <r>
    <s v="ORD0310"/>
    <s v="2025-05-21"/>
    <x v="8"/>
    <s v="Q2"/>
    <x v="2"/>
    <x v="5"/>
    <s v="Customer 28"/>
    <x v="8"/>
    <x v="3"/>
    <n v="5"/>
    <n v="1481.57"/>
    <n v="5"/>
    <n v="7037.46"/>
    <n v="4355.7700000000004"/>
    <n v="2681.69"/>
    <n v="0.38105935948481412"/>
  </r>
  <r>
    <s v="ORD0368"/>
    <s v="2025-05-05"/>
    <x v="8"/>
    <s v="Q2"/>
    <x v="3"/>
    <x v="0"/>
    <s v="Customer 35"/>
    <x v="9"/>
    <x v="3"/>
    <n v="4"/>
    <n v="479.81"/>
    <n v="5"/>
    <n v="1823.28"/>
    <n v="1517.04"/>
    <n v="306.24"/>
    <n v="0.16796103725154668"/>
  </r>
  <r>
    <s v="ORD0393"/>
    <s v="2025-05-20"/>
    <x v="8"/>
    <s v="Q2"/>
    <x v="2"/>
    <x v="0"/>
    <s v="Customer 10"/>
    <x v="4"/>
    <x v="1"/>
    <n v="2"/>
    <n v="2434.91"/>
    <n v="5"/>
    <n v="4626.33"/>
    <n v="3840.78"/>
    <n v="785.55"/>
    <n v="0.16979981972751618"/>
  </r>
  <r>
    <s v="ORD0450"/>
    <s v="2025-05-05"/>
    <x v="8"/>
    <s v="Q2"/>
    <x v="2"/>
    <x v="4"/>
    <s v="Customer 49"/>
    <x v="4"/>
    <x v="1"/>
    <n v="8"/>
    <n v="2391.52"/>
    <n v="5"/>
    <n v="18175.55"/>
    <n v="15027.11"/>
    <n v="3148.44"/>
    <n v="0.17322391894605665"/>
  </r>
  <r>
    <s v="ORD0470"/>
    <s v="2025-05-27"/>
    <x v="8"/>
    <s v="Q2"/>
    <x v="2"/>
    <x v="2"/>
    <s v="Customer 37"/>
    <x v="2"/>
    <x v="2"/>
    <n v="2"/>
    <n v="4919.84"/>
    <n v="5"/>
    <n v="9347.7000000000007"/>
    <n v="5264.39"/>
    <n v="4083.31"/>
    <n v="0.43682510136183228"/>
  </r>
  <r>
    <s v="ORD0488"/>
    <s v="2025-05-08"/>
    <x v="8"/>
    <s v="Q2"/>
    <x v="2"/>
    <x v="0"/>
    <s v="Customer 3"/>
    <x v="0"/>
    <x v="0"/>
    <n v="4"/>
    <n v="28.46"/>
    <n v="5"/>
    <n v="108.15"/>
    <n v="70.25"/>
    <n v="37.9"/>
    <n v="0.35043920480813684"/>
  </r>
  <r>
    <s v="ORD0493"/>
    <s v="2025-05-19"/>
    <x v="8"/>
    <s v="Q2"/>
    <x v="2"/>
    <x v="4"/>
    <s v="Customer 40"/>
    <x v="8"/>
    <x v="3"/>
    <n v="3"/>
    <n v="1350.88"/>
    <n v="5"/>
    <n v="3850.01"/>
    <n v="2214.7399999999998"/>
    <n v="1635.27"/>
    <n v="0.42474435131337318"/>
  </r>
  <r>
    <s v="ORD0542"/>
    <s v="2025-05-14"/>
    <x v="8"/>
    <s v="Q2"/>
    <x v="1"/>
    <x v="3"/>
    <s v="Customer 45"/>
    <x v="8"/>
    <x v="3"/>
    <n v="5"/>
    <n v="1544.93"/>
    <n v="5"/>
    <n v="7338.42"/>
    <n v="5498.85"/>
    <n v="1839.57"/>
    <n v="0.2506765761567204"/>
  </r>
  <r>
    <s v="ORD0641"/>
    <s v="2025-05-15"/>
    <x v="8"/>
    <s v="Q2"/>
    <x v="2"/>
    <x v="4"/>
    <s v="Customer 22"/>
    <x v="8"/>
    <x v="3"/>
    <n v="7"/>
    <n v="1566.29"/>
    <n v="5"/>
    <n v="10415.83"/>
    <n v="8486.66"/>
    <n v="1929.17"/>
    <n v="0.18521519648458165"/>
  </r>
  <r>
    <s v="ORD0706"/>
    <s v="2025-05-27"/>
    <x v="8"/>
    <s v="Q2"/>
    <x v="0"/>
    <x v="2"/>
    <s v="Customer 50"/>
    <x v="2"/>
    <x v="2"/>
    <n v="6"/>
    <n v="4793.43"/>
    <n v="5"/>
    <n v="27322.55"/>
    <n v="19927.8"/>
    <n v="7394.75"/>
    <n v="0.2706464074546483"/>
  </r>
  <r>
    <s v="ORD0741"/>
    <s v="2025-05-12"/>
    <x v="8"/>
    <s v="Q2"/>
    <x v="3"/>
    <x v="3"/>
    <s v="Customer 49"/>
    <x v="3"/>
    <x v="0"/>
    <n v="3"/>
    <n v="119.12"/>
    <n v="5"/>
    <n v="339.49"/>
    <n v="280.86"/>
    <n v="58.63"/>
    <n v="0.17270022681080444"/>
  </r>
  <r>
    <s v="ORD0795"/>
    <s v="2025-05-26"/>
    <x v="8"/>
    <s v="Q2"/>
    <x v="2"/>
    <x v="0"/>
    <s v="Customer 35"/>
    <x v="9"/>
    <x v="3"/>
    <n v="2"/>
    <n v="540.96"/>
    <n v="5"/>
    <n v="1027.82"/>
    <n v="868.74"/>
    <n v="159.08000000000001"/>
    <n v="0.15477418224981029"/>
  </r>
  <r>
    <s v="ORD0827"/>
    <s v="2025-05-27"/>
    <x v="8"/>
    <s v="Q2"/>
    <x v="2"/>
    <x v="0"/>
    <s v="Customer 38"/>
    <x v="9"/>
    <x v="3"/>
    <n v="3"/>
    <n v="464.55"/>
    <n v="5"/>
    <n v="1323.97"/>
    <n v="1122.6500000000001"/>
    <n v="201.32"/>
    <n v="0.15205782608367258"/>
  </r>
  <r>
    <s v="ORD0902"/>
    <s v="2025-05-28"/>
    <x v="8"/>
    <s v="Q2"/>
    <x v="1"/>
    <x v="2"/>
    <s v="Customer 35"/>
    <x v="5"/>
    <x v="1"/>
    <n v="6"/>
    <n v="839.14"/>
    <n v="5"/>
    <n v="4783.1000000000004"/>
    <n v="3846.55"/>
    <n v="936.55"/>
    <n v="0.19580397650059583"/>
  </r>
  <r>
    <s v="ORD0913"/>
    <s v="2025-05-30"/>
    <x v="8"/>
    <s v="Q2"/>
    <x v="2"/>
    <x v="4"/>
    <s v="Customer 33"/>
    <x v="4"/>
    <x v="1"/>
    <n v="5"/>
    <n v="2707.66"/>
    <n v="5"/>
    <n v="12861.38"/>
    <n v="8475.4599999999991"/>
    <n v="4385.92"/>
    <n v="0.3410147278130341"/>
  </r>
  <r>
    <s v="ORD0001"/>
    <s v="2025-11-06"/>
    <x v="9"/>
    <s v="Q4"/>
    <x v="3"/>
    <x v="5"/>
    <s v="Customer 31"/>
    <x v="0"/>
    <x v="0"/>
    <n v="6"/>
    <n v="29.36"/>
    <n v="5"/>
    <n v="167.35"/>
    <n v="99.91"/>
    <n v="67.44"/>
    <n v="0.40298775022408129"/>
  </r>
  <r>
    <s v="ORD0052"/>
    <s v="2025-11-22"/>
    <x v="9"/>
    <s v="Q4"/>
    <x v="1"/>
    <x v="0"/>
    <s v="Customer 26"/>
    <x v="9"/>
    <x v="3"/>
    <n v="8"/>
    <n v="491.67"/>
    <n v="5"/>
    <n v="3736.69"/>
    <n v="2106.44"/>
    <n v="1630.25"/>
    <n v="0.43628184302149764"/>
  </r>
  <r>
    <s v="ORD0258"/>
    <s v="2025-11-21"/>
    <x v="9"/>
    <s v="Q4"/>
    <x v="1"/>
    <x v="4"/>
    <s v="Customer 29"/>
    <x v="2"/>
    <x v="2"/>
    <n v="3"/>
    <n v="4101.26"/>
    <n v="5"/>
    <n v="11688.59"/>
    <n v="8331.32"/>
    <n v="3357.27"/>
    <n v="0.28722626082358949"/>
  </r>
  <r>
    <s v="ORD0299"/>
    <s v="2025-11-14"/>
    <x v="9"/>
    <s v="Q4"/>
    <x v="2"/>
    <x v="0"/>
    <s v="Customer 22"/>
    <x v="6"/>
    <x v="1"/>
    <n v="8"/>
    <n v="62452.93"/>
    <n v="5"/>
    <n v="474642.27"/>
    <n v="282277.32"/>
    <n v="192364.95"/>
    <n v="0.40528406793604793"/>
  </r>
  <r>
    <s v="ORD0420"/>
    <s v="2025-11-20"/>
    <x v="9"/>
    <s v="Q4"/>
    <x v="0"/>
    <x v="0"/>
    <s v="Customer 24"/>
    <x v="1"/>
    <x v="1"/>
    <n v="4"/>
    <n v="24246.12"/>
    <n v="5"/>
    <n v="92135.26"/>
    <n v="58169.53"/>
    <n v="33965.730000000003"/>
    <n v="0.36865072069042848"/>
  </r>
  <r>
    <s v="ORD0463"/>
    <s v="2025-11-11"/>
    <x v="9"/>
    <s v="Q4"/>
    <x v="2"/>
    <x v="5"/>
    <s v="Customer 35"/>
    <x v="6"/>
    <x v="1"/>
    <n v="6"/>
    <n v="57562.559999999998"/>
    <n v="5"/>
    <n v="328106.59000000003"/>
    <n v="188797.2"/>
    <n v="139309.39000000001"/>
    <n v="0.42458577256860341"/>
  </r>
  <r>
    <s v="ORD0494"/>
    <s v="2025-11-30"/>
    <x v="9"/>
    <s v="Q4"/>
    <x v="0"/>
    <x v="3"/>
    <s v="Customer 3"/>
    <x v="9"/>
    <x v="3"/>
    <n v="3"/>
    <n v="463.61"/>
    <n v="5"/>
    <n v="1321.29"/>
    <n v="858.65"/>
    <n v="462.64"/>
    <n v="0.35014266360904872"/>
  </r>
  <r>
    <s v="ORD0510"/>
    <s v="2025-11-08"/>
    <x v="9"/>
    <s v="Q4"/>
    <x v="2"/>
    <x v="3"/>
    <s v="Customer 33"/>
    <x v="8"/>
    <x v="3"/>
    <n v="6"/>
    <n v="1481.12"/>
    <n v="5"/>
    <n v="8442.3799999999992"/>
    <n v="6729.86"/>
    <n v="1712.52"/>
    <n v="0.20284801205347308"/>
  </r>
  <r>
    <s v="ORD0558"/>
    <s v="2025-11-01"/>
    <x v="9"/>
    <s v="Q4"/>
    <x v="3"/>
    <x v="1"/>
    <s v="Customer 31"/>
    <x v="1"/>
    <x v="1"/>
    <n v="5"/>
    <n v="26105.79"/>
    <n v="5"/>
    <n v="124002.5"/>
    <n v="89122.33"/>
    <n v="34880.17"/>
    <n v="0.28128602245922457"/>
  </r>
  <r>
    <s v="ORD0625"/>
    <s v="2025-11-24"/>
    <x v="9"/>
    <s v="Q4"/>
    <x v="2"/>
    <x v="4"/>
    <s v="Customer 37"/>
    <x v="2"/>
    <x v="2"/>
    <n v="4"/>
    <n v="4083.2"/>
    <n v="5"/>
    <n v="15516.16"/>
    <n v="10845.72"/>
    <n v="4670.4399999999996"/>
    <n v="0.30100488780729251"/>
  </r>
  <r>
    <s v="ORD0707"/>
    <s v="2025-11-04"/>
    <x v="9"/>
    <s v="Q4"/>
    <x v="2"/>
    <x v="4"/>
    <s v="Customer 18"/>
    <x v="9"/>
    <x v="3"/>
    <n v="3"/>
    <n v="466.71"/>
    <n v="5"/>
    <n v="1330.12"/>
    <n v="743.1"/>
    <n v="587.02"/>
    <n v="0.44132860193065288"/>
  </r>
  <r>
    <s v="ORD0756"/>
    <s v="2025-11-05"/>
    <x v="9"/>
    <s v="Q4"/>
    <x v="3"/>
    <x v="0"/>
    <s v="Customer 21"/>
    <x v="6"/>
    <x v="1"/>
    <n v="2"/>
    <n v="56016.1"/>
    <n v="5"/>
    <n v="106430.59"/>
    <n v="78845.490000000005"/>
    <n v="27585.1"/>
    <n v="0.25918394326292843"/>
  </r>
  <r>
    <s v="ORD0013"/>
    <s v="2025-10-22"/>
    <x v="10"/>
    <s v="Q4"/>
    <x v="1"/>
    <x v="2"/>
    <s v="Customer 21"/>
    <x v="2"/>
    <x v="2"/>
    <n v="2"/>
    <n v="4060.06"/>
    <n v="5"/>
    <n v="7714.11"/>
    <n v="4264.8599999999997"/>
    <n v="3449.25"/>
    <n v="0.44713518474587477"/>
  </r>
  <r>
    <s v="ORD0019"/>
    <s v="2025-10-19"/>
    <x v="10"/>
    <s v="Q4"/>
    <x v="0"/>
    <x v="3"/>
    <s v="Customer 21"/>
    <x v="1"/>
    <x v="1"/>
    <n v="5"/>
    <n v="24086.67"/>
    <n v="5"/>
    <n v="114411.68"/>
    <n v="80787.789999999994"/>
    <n v="33623.89"/>
    <n v="0.29388511732368583"/>
  </r>
  <r>
    <s v="ORD0026"/>
    <s v="2025-10-24"/>
    <x v="10"/>
    <s v="Q4"/>
    <x v="2"/>
    <x v="3"/>
    <s v="Customer 30"/>
    <x v="4"/>
    <x v="1"/>
    <n v="8"/>
    <n v="2559.4299999999998"/>
    <n v="5"/>
    <n v="19451.669999999998"/>
    <n v="11694.87"/>
    <n v="7756.8"/>
    <n v="0.39877295882564329"/>
  </r>
  <r>
    <s v="ORD0101"/>
    <s v="2025-10-18"/>
    <x v="10"/>
    <s v="Q4"/>
    <x v="3"/>
    <x v="5"/>
    <s v="Customer 14"/>
    <x v="6"/>
    <x v="1"/>
    <n v="2"/>
    <n v="62387.25"/>
    <n v="5"/>
    <n v="118535.77"/>
    <n v="94235.46"/>
    <n v="24300.31"/>
    <n v="0.20500402536719506"/>
  </r>
  <r>
    <s v="ORD0336"/>
    <s v="2025-10-14"/>
    <x v="10"/>
    <s v="Q4"/>
    <x v="3"/>
    <x v="3"/>
    <s v="Customer 15"/>
    <x v="4"/>
    <x v="1"/>
    <n v="1"/>
    <n v="2490"/>
    <n v="5"/>
    <n v="2365.5"/>
    <n v="1487.24"/>
    <n v="878.26"/>
    <n v="0.37127879940815894"/>
  </r>
  <r>
    <s v="ORD0460"/>
    <s v="2025-10-29"/>
    <x v="10"/>
    <s v="Q4"/>
    <x v="1"/>
    <x v="3"/>
    <s v="Customer 45"/>
    <x v="7"/>
    <x v="2"/>
    <n v="4"/>
    <n v="7799.24"/>
    <n v="5"/>
    <n v="29637.11"/>
    <n v="19961.59"/>
    <n v="9675.52"/>
    <n v="0.32646637948167012"/>
  </r>
  <r>
    <s v="ORD0487"/>
    <s v="2025-10-29"/>
    <x v="10"/>
    <s v="Q4"/>
    <x v="3"/>
    <x v="3"/>
    <s v="Customer 40"/>
    <x v="3"/>
    <x v="0"/>
    <n v="2"/>
    <n v="116.81"/>
    <n v="5"/>
    <n v="221.94"/>
    <n v="157.66999999999999"/>
    <n v="64.27"/>
    <n v="0.28958277011804989"/>
  </r>
  <r>
    <s v="ORD0616"/>
    <s v="2025-10-13"/>
    <x v="10"/>
    <s v="Q4"/>
    <x v="2"/>
    <x v="0"/>
    <s v="Customer 6"/>
    <x v="4"/>
    <x v="1"/>
    <n v="2"/>
    <n v="2356.9299999999998"/>
    <n v="5"/>
    <n v="4478.17"/>
    <n v="3208.79"/>
    <n v="1269.3800000000001"/>
    <n v="0.28345953815956071"/>
  </r>
  <r>
    <s v="ORD0651"/>
    <s v="2025-10-28"/>
    <x v="10"/>
    <s v="Q4"/>
    <x v="3"/>
    <x v="2"/>
    <s v="Customer 35"/>
    <x v="5"/>
    <x v="1"/>
    <n v="7"/>
    <n v="859.04"/>
    <n v="5"/>
    <n v="5712.62"/>
    <n v="3522.42"/>
    <n v="2190.1999999999998"/>
    <n v="0.38339676015558533"/>
  </r>
  <r>
    <s v="ORD0748"/>
    <s v="2025-10-05"/>
    <x v="10"/>
    <s v="Q4"/>
    <x v="1"/>
    <x v="1"/>
    <s v="Customer 14"/>
    <x v="3"/>
    <x v="0"/>
    <n v="6"/>
    <n v="110.82"/>
    <n v="5"/>
    <n v="631.66999999999996"/>
    <n v="408.93"/>
    <n v="222.74"/>
    <n v="0.35262083049693671"/>
  </r>
  <r>
    <s v="ORD0812"/>
    <s v="2025-10-02"/>
    <x v="10"/>
    <s v="Q4"/>
    <x v="3"/>
    <x v="3"/>
    <s v="Customer 4"/>
    <x v="2"/>
    <x v="2"/>
    <n v="8"/>
    <n v="4886.79"/>
    <n v="5"/>
    <n v="37139.599999999999"/>
    <n v="28025.38"/>
    <n v="9114.2199999999993"/>
    <n v="0.24540436622903855"/>
  </r>
  <r>
    <s v="ORD0883"/>
    <s v="2025-10-03"/>
    <x v="10"/>
    <s v="Q4"/>
    <x v="3"/>
    <x v="0"/>
    <s v="Customer 49"/>
    <x v="1"/>
    <x v="1"/>
    <n v="8"/>
    <n v="27446.46"/>
    <n v="5"/>
    <n v="208593.1"/>
    <n v="153661.15"/>
    <n v="54931.95"/>
    <n v="0.26334500038591879"/>
  </r>
  <r>
    <s v="ORD0930"/>
    <s v="2025-10-18"/>
    <x v="10"/>
    <s v="Q4"/>
    <x v="1"/>
    <x v="4"/>
    <s v="Customer 46"/>
    <x v="4"/>
    <x v="1"/>
    <n v="3"/>
    <n v="2743.16"/>
    <n v="5"/>
    <n v="7818.01"/>
    <n v="6224.23"/>
    <n v="1593.78"/>
    <n v="0.20386006157577183"/>
  </r>
  <r>
    <s v="ORD0075"/>
    <s v="2025-09-03"/>
    <x v="11"/>
    <s v="Q3"/>
    <x v="1"/>
    <x v="5"/>
    <s v="Customer 34"/>
    <x v="7"/>
    <x v="2"/>
    <n v="1"/>
    <n v="8100.34"/>
    <n v="5"/>
    <n v="7695.32"/>
    <n v="5165.09"/>
    <n v="2530.23"/>
    <n v="0.32880114147299921"/>
  </r>
  <r>
    <s v="ORD0109"/>
    <s v="2025-09-21"/>
    <x v="11"/>
    <s v="Q3"/>
    <x v="0"/>
    <x v="4"/>
    <s v="Customer 41"/>
    <x v="2"/>
    <x v="2"/>
    <n v="1"/>
    <n v="4487.58"/>
    <n v="5"/>
    <n v="4263.2"/>
    <n v="2642.54"/>
    <n v="1620.66"/>
    <n v="0.38015106023644213"/>
  </r>
  <r>
    <s v="ORD0335"/>
    <s v="2025-09-04"/>
    <x v="11"/>
    <s v="Q3"/>
    <x v="3"/>
    <x v="2"/>
    <s v="Customer 21"/>
    <x v="4"/>
    <x v="1"/>
    <n v="8"/>
    <n v="2494.17"/>
    <n v="5"/>
    <n v="18955.689999999999"/>
    <n v="13903.27"/>
    <n v="5052.42"/>
    <n v="0.26653843779888786"/>
  </r>
  <r>
    <s v="ORD0358"/>
    <s v="2025-09-07"/>
    <x v="11"/>
    <s v="Q3"/>
    <x v="1"/>
    <x v="4"/>
    <s v="Customer 35"/>
    <x v="4"/>
    <x v="1"/>
    <n v="8"/>
    <n v="2451.37"/>
    <n v="5"/>
    <n v="18630.41"/>
    <n v="11419.71"/>
    <n v="7210.7"/>
    <n v="0.38703925463798167"/>
  </r>
  <r>
    <s v="ORD0372"/>
    <s v="2025-09-19"/>
    <x v="11"/>
    <s v="Q3"/>
    <x v="3"/>
    <x v="4"/>
    <s v="Customer 27"/>
    <x v="3"/>
    <x v="0"/>
    <n v="1"/>
    <n v="121.17"/>
    <n v="5"/>
    <n v="115.11"/>
    <n v="85.24"/>
    <n v="29.87"/>
    <n v="0.25949092172704369"/>
  </r>
  <r>
    <s v="ORD0374"/>
    <s v="2025-09-09"/>
    <x v="11"/>
    <s v="Q3"/>
    <x v="3"/>
    <x v="1"/>
    <s v="Customer 28"/>
    <x v="6"/>
    <x v="1"/>
    <n v="5"/>
    <n v="58770.58"/>
    <n v="5"/>
    <n v="279160.26"/>
    <n v="170395.03"/>
    <n v="108765.23"/>
    <n v="0.3896157354202206"/>
  </r>
  <r>
    <s v="ORD0409"/>
    <s v="2025-09-03"/>
    <x v="11"/>
    <s v="Q3"/>
    <x v="3"/>
    <x v="5"/>
    <s v="Customer 5"/>
    <x v="1"/>
    <x v="1"/>
    <n v="5"/>
    <n v="22529.040000000001"/>
    <n v="5"/>
    <n v="107012.94"/>
    <n v="86069.96"/>
    <n v="20942.98"/>
    <n v="0.19570511753064629"/>
  </r>
  <r>
    <s v="ORD0448"/>
    <s v="2025-09-20"/>
    <x v="11"/>
    <s v="Q3"/>
    <x v="1"/>
    <x v="1"/>
    <s v="Customer 1"/>
    <x v="7"/>
    <x v="2"/>
    <n v="8"/>
    <n v="8468.31"/>
    <n v="5"/>
    <n v="64359.16"/>
    <n v="53779.44"/>
    <n v="10579.72"/>
    <n v="0.16438561348532205"/>
  </r>
  <r>
    <s v="ORD0454"/>
    <s v="2025-09-24"/>
    <x v="11"/>
    <s v="Q3"/>
    <x v="1"/>
    <x v="5"/>
    <s v="Customer 49"/>
    <x v="5"/>
    <x v="1"/>
    <n v="4"/>
    <n v="904.85"/>
    <n v="5"/>
    <n v="3438.43"/>
    <n v="2455.09"/>
    <n v="983.34"/>
    <n v="0.28598517346579694"/>
  </r>
  <r>
    <s v="ORD0529"/>
    <s v="2025-09-13"/>
    <x v="11"/>
    <s v="Q3"/>
    <x v="1"/>
    <x v="5"/>
    <s v="Customer 24"/>
    <x v="7"/>
    <x v="2"/>
    <n v="5"/>
    <n v="8795.0400000000009"/>
    <n v="5"/>
    <n v="41776.44"/>
    <n v="31482.09"/>
    <n v="10294.35"/>
    <n v="0.24641520435920342"/>
  </r>
  <r>
    <s v="ORD0547"/>
    <s v="2025-09-06"/>
    <x v="11"/>
    <s v="Q3"/>
    <x v="0"/>
    <x v="5"/>
    <s v="Customer 24"/>
    <x v="6"/>
    <x v="1"/>
    <n v="8"/>
    <n v="59402.22"/>
    <n v="5"/>
    <n v="451456.87"/>
    <n v="275635.48"/>
    <n v="175821.39"/>
    <n v="0.3894533491095174"/>
  </r>
  <r>
    <s v="ORD0747"/>
    <s v="2025-09-18"/>
    <x v="11"/>
    <s v="Q3"/>
    <x v="2"/>
    <x v="4"/>
    <s v="Customer 9"/>
    <x v="8"/>
    <x v="3"/>
    <n v="8"/>
    <n v="1366.54"/>
    <n v="5"/>
    <n v="10385.700000000001"/>
    <n v="8119.92"/>
    <n v="2265.7800000000002"/>
    <n v="0.2181634362633236"/>
  </r>
  <r>
    <s v="ORD0857"/>
    <s v="2025-09-26"/>
    <x v="11"/>
    <s v="Q3"/>
    <x v="1"/>
    <x v="1"/>
    <s v="Customer 26"/>
    <x v="7"/>
    <x v="2"/>
    <n v="5"/>
    <n v="8747.5499999999993"/>
    <n v="5"/>
    <n v="41550.86"/>
    <n v="28216.48"/>
    <n v="13334.38"/>
    <n v="0.32091706405114118"/>
  </r>
  <r>
    <s v="ORD0864"/>
    <s v="2025-09-13"/>
    <x v="11"/>
    <s v="Q3"/>
    <x v="2"/>
    <x v="1"/>
    <s v="Customer 5"/>
    <x v="9"/>
    <x v="3"/>
    <n v="8"/>
    <n v="474.13"/>
    <n v="5"/>
    <n v="3603.39"/>
    <n v="2886.06"/>
    <n v="717.33"/>
    <n v="0.19907087492611125"/>
  </r>
  <r>
    <s v="ORD0941"/>
    <s v="2025-09-10"/>
    <x v="11"/>
    <s v="Q3"/>
    <x v="0"/>
    <x v="3"/>
    <s v="Customer 3"/>
    <x v="6"/>
    <x v="1"/>
    <n v="6"/>
    <n v="58072.73"/>
    <n v="5"/>
    <n v="331014.56"/>
    <n v="279330.15000000002"/>
    <n v="51684.41"/>
    <n v="0.1561393855303525"/>
  </r>
  <r>
    <s v="ORD0083"/>
    <s v="2025-04-07"/>
    <x v="0"/>
    <s v="Q2"/>
    <x v="2"/>
    <x v="3"/>
    <s v="Customer 35"/>
    <x v="7"/>
    <x v="2"/>
    <n v="1"/>
    <n v="8052.95"/>
    <n v="0"/>
    <n v="8052.95"/>
    <n v="6104.6"/>
    <n v="1948.35"/>
    <n v="0.24194239378116095"/>
  </r>
  <r>
    <s v="ORD0093"/>
    <s v="2025-04-01"/>
    <x v="0"/>
    <s v="Q2"/>
    <x v="0"/>
    <x v="2"/>
    <s v="Customer 14"/>
    <x v="9"/>
    <x v="3"/>
    <n v="4"/>
    <n v="480.49"/>
    <n v="0"/>
    <n v="1921.96"/>
    <n v="1441.18"/>
    <n v="480.78"/>
    <n v="0.25015088763553872"/>
  </r>
  <r>
    <s v="ORD0146"/>
    <s v="2025-04-24"/>
    <x v="0"/>
    <s v="Q2"/>
    <x v="3"/>
    <x v="2"/>
    <s v="Customer 38"/>
    <x v="9"/>
    <x v="3"/>
    <n v="3"/>
    <n v="508.4"/>
    <n v="0"/>
    <n v="1525.2"/>
    <n v="1000.82"/>
    <n v="524.38"/>
    <n v="0.34381064778389719"/>
  </r>
  <r>
    <s v="ORD0225"/>
    <s v="2025-04-25"/>
    <x v="0"/>
    <s v="Q2"/>
    <x v="2"/>
    <x v="1"/>
    <s v="Customer 27"/>
    <x v="3"/>
    <x v="0"/>
    <n v="5"/>
    <n v="110.45"/>
    <n v="0"/>
    <n v="552.25"/>
    <n v="367.61"/>
    <n v="184.64"/>
    <n v="0.33434133091896784"/>
  </r>
  <r>
    <s v="ORD0388"/>
    <s v="2025-04-19"/>
    <x v="0"/>
    <s v="Q2"/>
    <x v="3"/>
    <x v="4"/>
    <s v="Customer 29"/>
    <x v="4"/>
    <x v="1"/>
    <n v="8"/>
    <n v="2703.25"/>
    <n v="0"/>
    <n v="21626"/>
    <n v="15423.82"/>
    <n v="6202.18"/>
    <n v="0.28679274946823269"/>
  </r>
  <r>
    <s v="ORD0440"/>
    <s v="2025-04-23"/>
    <x v="0"/>
    <s v="Q2"/>
    <x v="3"/>
    <x v="5"/>
    <s v="Customer 21"/>
    <x v="7"/>
    <x v="2"/>
    <n v="4"/>
    <n v="8251.7999999999993"/>
    <n v="0"/>
    <n v="33007.199999999997"/>
    <n v="23423.02"/>
    <n v="9584.18"/>
    <n v="0.29036634431275604"/>
  </r>
  <r>
    <s v="ORD0524"/>
    <s v="2025-04-24"/>
    <x v="0"/>
    <s v="Q2"/>
    <x v="3"/>
    <x v="3"/>
    <s v="Customer 29"/>
    <x v="4"/>
    <x v="1"/>
    <n v="1"/>
    <n v="2540.29"/>
    <n v="0"/>
    <n v="2540.29"/>
    <n v="1785.64"/>
    <n v="754.65"/>
    <n v="0.29707238149975002"/>
  </r>
  <r>
    <s v="ORD0607"/>
    <s v="2025-04-26"/>
    <x v="0"/>
    <s v="Q2"/>
    <x v="3"/>
    <x v="0"/>
    <s v="Customer 42"/>
    <x v="5"/>
    <x v="1"/>
    <n v="3"/>
    <n v="879.81"/>
    <n v="0"/>
    <n v="2639.43"/>
    <n v="1706.06"/>
    <n v="933.37"/>
    <n v="0.35362559340463662"/>
  </r>
  <r>
    <s v="ORD0806"/>
    <s v="2025-04-29"/>
    <x v="0"/>
    <s v="Q2"/>
    <x v="1"/>
    <x v="4"/>
    <s v="Customer 29"/>
    <x v="8"/>
    <x v="3"/>
    <n v="6"/>
    <n v="1396"/>
    <n v="0"/>
    <n v="8376"/>
    <n v="5885.29"/>
    <n v="2490.71"/>
    <n v="0.2973627029608405"/>
  </r>
  <r>
    <s v="ORD0989"/>
    <s v="2025-04-21"/>
    <x v="0"/>
    <s v="Q2"/>
    <x v="0"/>
    <x v="1"/>
    <s v="Customer 4"/>
    <x v="3"/>
    <x v="0"/>
    <n v="2"/>
    <n v="111.41"/>
    <n v="0"/>
    <n v="222.82"/>
    <n v="152.59"/>
    <n v="70.23"/>
    <n v="0.31518714657571134"/>
  </r>
  <r>
    <s v="ORD0064"/>
    <s v="2025-08-27"/>
    <x v="1"/>
    <s v="Q3"/>
    <x v="1"/>
    <x v="3"/>
    <s v="Customer 28"/>
    <x v="9"/>
    <x v="3"/>
    <n v="2"/>
    <n v="538.62"/>
    <n v="0"/>
    <n v="1077.24"/>
    <n v="912.75"/>
    <n v="164.49"/>
    <n v="0.15269577809958784"/>
  </r>
  <r>
    <s v="ORD0147"/>
    <s v="2025-08-05"/>
    <x v="1"/>
    <s v="Q3"/>
    <x v="1"/>
    <x v="5"/>
    <s v="Customer 38"/>
    <x v="4"/>
    <x v="1"/>
    <n v="3"/>
    <n v="2531.4899999999998"/>
    <n v="0"/>
    <n v="7594.47"/>
    <n v="5475.27"/>
    <n v="2119.1999999999998"/>
    <n v="0.27904514732430302"/>
  </r>
  <r>
    <s v="ORD0433"/>
    <s v="2025-08-06"/>
    <x v="1"/>
    <s v="Q3"/>
    <x v="0"/>
    <x v="0"/>
    <s v="Customer 46"/>
    <x v="2"/>
    <x v="2"/>
    <n v="8"/>
    <n v="4125.7"/>
    <n v="0"/>
    <n v="33005.599999999999"/>
    <n v="23919.43"/>
    <n v="9086.17"/>
    <n v="0.27529176866955912"/>
  </r>
  <r>
    <s v="ORD0512"/>
    <s v="2025-08-03"/>
    <x v="1"/>
    <s v="Q3"/>
    <x v="2"/>
    <x v="0"/>
    <s v="Customer 11"/>
    <x v="2"/>
    <x v="2"/>
    <n v="2"/>
    <n v="4686.0200000000004"/>
    <n v="0"/>
    <n v="9372.0400000000009"/>
    <n v="7259.63"/>
    <n v="2112.41"/>
    <n v="0.22539489801580015"/>
  </r>
  <r>
    <s v="ORD0551"/>
    <s v="2025-08-15"/>
    <x v="1"/>
    <s v="Q3"/>
    <x v="2"/>
    <x v="3"/>
    <s v="Customer 41"/>
    <x v="5"/>
    <x v="1"/>
    <n v="7"/>
    <n v="916.27"/>
    <n v="0"/>
    <n v="6413.89"/>
    <n v="4420.2"/>
    <n v="1993.69"/>
    <n v="0.31083944376969358"/>
  </r>
  <r>
    <s v="ORD0565"/>
    <s v="2025-08-01"/>
    <x v="1"/>
    <s v="Q3"/>
    <x v="1"/>
    <x v="1"/>
    <s v="Customer 19"/>
    <x v="9"/>
    <x v="3"/>
    <n v="2"/>
    <n v="542.29999999999995"/>
    <n v="0"/>
    <n v="1084.5999999999999"/>
    <n v="764.33"/>
    <n v="320.27"/>
    <n v="0.2952885856536972"/>
  </r>
  <r>
    <s v="ORD0580"/>
    <s v="2025-08-24"/>
    <x v="1"/>
    <s v="Q3"/>
    <x v="2"/>
    <x v="2"/>
    <s v="Customer 10"/>
    <x v="4"/>
    <x v="1"/>
    <n v="6"/>
    <n v="2485.3000000000002"/>
    <n v="0"/>
    <n v="14911.8"/>
    <n v="8943.2800000000007"/>
    <n v="5968.52"/>
    <n v="0.40025483174398802"/>
  </r>
  <r>
    <s v="ORD0776"/>
    <s v="2025-08-20"/>
    <x v="1"/>
    <s v="Q3"/>
    <x v="2"/>
    <x v="3"/>
    <s v="Customer 20"/>
    <x v="7"/>
    <x v="2"/>
    <n v="4"/>
    <n v="7555.08"/>
    <n v="0"/>
    <n v="30220.32"/>
    <n v="24224.33"/>
    <n v="5995.99"/>
    <n v="0.19840921605065731"/>
  </r>
  <r>
    <s v="ORD0856"/>
    <s v="2025-08-08"/>
    <x v="1"/>
    <s v="Q3"/>
    <x v="0"/>
    <x v="1"/>
    <s v="Customer 28"/>
    <x v="7"/>
    <x v="2"/>
    <n v="7"/>
    <n v="8659.74"/>
    <n v="0"/>
    <n v="60618.18"/>
    <n v="39100.199999999997"/>
    <n v="21517.98"/>
    <n v="0.35497568551216813"/>
  </r>
  <r>
    <s v="ORD0870"/>
    <s v="2025-08-20"/>
    <x v="1"/>
    <s v="Q3"/>
    <x v="3"/>
    <x v="3"/>
    <s v="Customer 30"/>
    <x v="5"/>
    <x v="1"/>
    <n v="3"/>
    <n v="865.5"/>
    <n v="0"/>
    <n v="2596.5"/>
    <n v="2100.12"/>
    <n v="496.38"/>
    <n v="0.19117273252455227"/>
  </r>
  <r>
    <s v="ORD0881"/>
    <s v="2025-08-31"/>
    <x v="1"/>
    <s v="Q3"/>
    <x v="0"/>
    <x v="2"/>
    <s v="Customer 2"/>
    <x v="4"/>
    <x v="1"/>
    <n v="6"/>
    <n v="2367.7600000000002"/>
    <n v="0"/>
    <n v="14206.56"/>
    <n v="11383.28"/>
    <n v="2823.28"/>
    <n v="0.19873072721334373"/>
  </r>
  <r>
    <s v="ORD0924"/>
    <s v="2025-08-01"/>
    <x v="1"/>
    <s v="Q3"/>
    <x v="1"/>
    <x v="3"/>
    <s v="Customer 19"/>
    <x v="4"/>
    <x v="1"/>
    <n v="8"/>
    <n v="2255.4699999999998"/>
    <n v="0"/>
    <n v="18043.759999999998"/>
    <n v="13339.68"/>
    <n v="4704.08"/>
    <n v="0.26070397744150886"/>
  </r>
  <r>
    <s v="ORD0967"/>
    <s v="2025-08-05"/>
    <x v="1"/>
    <s v="Q3"/>
    <x v="3"/>
    <x v="0"/>
    <s v="Customer 25"/>
    <x v="6"/>
    <x v="1"/>
    <n v="6"/>
    <n v="65222.22"/>
    <n v="0"/>
    <n v="391333.32"/>
    <n v="325088.53999999998"/>
    <n v="66244.78"/>
    <n v="0.16927968208789376"/>
  </r>
  <r>
    <s v="ORD0972"/>
    <s v="2025-08-22"/>
    <x v="1"/>
    <s v="Q3"/>
    <x v="3"/>
    <x v="3"/>
    <s v="Customer 30"/>
    <x v="5"/>
    <x v="1"/>
    <n v="2"/>
    <n v="922.37"/>
    <n v="0"/>
    <n v="1844.74"/>
    <n v="1318.3"/>
    <n v="526.44000000000005"/>
    <n v="0.2853735485759511"/>
  </r>
  <r>
    <s v="ORD0008"/>
    <s v="2025-12-11"/>
    <x v="2"/>
    <s v="Q4"/>
    <x v="2"/>
    <x v="0"/>
    <s v="Customer 40"/>
    <x v="1"/>
    <x v="1"/>
    <n v="5"/>
    <n v="24851.51"/>
    <n v="0"/>
    <n v="124257.55"/>
    <n v="70207.89"/>
    <n v="54049.66"/>
    <n v="0.43498089250914734"/>
  </r>
  <r>
    <s v="ORD0042"/>
    <s v="2025-12-22"/>
    <x v="2"/>
    <s v="Q4"/>
    <x v="0"/>
    <x v="0"/>
    <s v="Customer 34"/>
    <x v="9"/>
    <x v="3"/>
    <n v="2"/>
    <n v="496.12"/>
    <n v="0"/>
    <n v="992.24"/>
    <n v="703.85"/>
    <n v="288.39"/>
    <n v="0.29064540836894298"/>
  </r>
  <r>
    <s v="ORD0053"/>
    <s v="2025-12-02"/>
    <x v="2"/>
    <s v="Q4"/>
    <x v="0"/>
    <x v="1"/>
    <s v="Customer 11"/>
    <x v="0"/>
    <x v="0"/>
    <n v="1"/>
    <n v="28.02"/>
    <n v="0"/>
    <n v="28.02"/>
    <n v="17.170000000000002"/>
    <n v="10.85"/>
    <n v="0.38722341184867953"/>
  </r>
  <r>
    <s v="ORD0065"/>
    <s v="2025-12-16"/>
    <x v="2"/>
    <s v="Q4"/>
    <x v="0"/>
    <x v="4"/>
    <s v="Customer 32"/>
    <x v="7"/>
    <x v="2"/>
    <n v="5"/>
    <n v="8549.67"/>
    <n v="0"/>
    <n v="42748.35"/>
    <n v="24540.5"/>
    <n v="18207.849999999999"/>
    <n v="0.42593105932743602"/>
  </r>
  <r>
    <s v="ORD0097"/>
    <s v="2025-12-07"/>
    <x v="2"/>
    <s v="Q4"/>
    <x v="0"/>
    <x v="0"/>
    <s v="Customer 6"/>
    <x v="7"/>
    <x v="2"/>
    <n v="8"/>
    <n v="7740.05"/>
    <n v="0"/>
    <n v="61920.4"/>
    <n v="35841.300000000003"/>
    <n v="26079.1"/>
    <n v="0.42117137486191947"/>
  </r>
  <r>
    <s v="ORD0181"/>
    <s v="2025-12-07"/>
    <x v="2"/>
    <s v="Q4"/>
    <x v="0"/>
    <x v="1"/>
    <s v="Customer 42"/>
    <x v="5"/>
    <x v="1"/>
    <n v="3"/>
    <n v="989.54"/>
    <n v="0"/>
    <n v="2968.62"/>
    <n v="2332.84"/>
    <n v="635.78"/>
    <n v="0.2141668519379375"/>
  </r>
  <r>
    <s v="ORD0186"/>
    <s v="2025-12-28"/>
    <x v="2"/>
    <s v="Q4"/>
    <x v="2"/>
    <x v="2"/>
    <s v="Customer 1"/>
    <x v="5"/>
    <x v="1"/>
    <n v="1"/>
    <n v="939.15"/>
    <n v="0"/>
    <n v="939.15"/>
    <n v="666.71"/>
    <n v="272.44"/>
    <n v="0.29009210456263645"/>
  </r>
  <r>
    <s v="ORD0223"/>
    <s v="2025-12-24"/>
    <x v="2"/>
    <s v="Q4"/>
    <x v="0"/>
    <x v="5"/>
    <s v="Customer 37"/>
    <x v="7"/>
    <x v="2"/>
    <n v="3"/>
    <n v="8102.35"/>
    <n v="0"/>
    <n v="24307.05"/>
    <n v="18499.27"/>
    <n v="5807.78"/>
    <n v="0.2389339718312177"/>
  </r>
  <r>
    <s v="ORD0351"/>
    <s v="2025-12-22"/>
    <x v="2"/>
    <s v="Q4"/>
    <x v="0"/>
    <x v="4"/>
    <s v="Customer 16"/>
    <x v="9"/>
    <x v="3"/>
    <n v="6"/>
    <n v="484.28"/>
    <n v="0"/>
    <n v="2905.68"/>
    <n v="1808.27"/>
    <n v="1097.4100000000001"/>
    <n v="0.3776775143856172"/>
  </r>
  <r>
    <s v="ORD0363"/>
    <s v="2025-12-25"/>
    <x v="2"/>
    <s v="Q4"/>
    <x v="3"/>
    <x v="4"/>
    <s v="Customer 29"/>
    <x v="4"/>
    <x v="1"/>
    <n v="3"/>
    <n v="2712.08"/>
    <n v="0"/>
    <n v="8136.24"/>
    <n v="4847.18"/>
    <n v="3289.06"/>
    <n v="0.40424815393842856"/>
  </r>
  <r>
    <s v="ORD0377"/>
    <s v="2025-12-07"/>
    <x v="2"/>
    <s v="Q4"/>
    <x v="3"/>
    <x v="0"/>
    <s v="Customer 24"/>
    <x v="6"/>
    <x v="1"/>
    <n v="7"/>
    <n v="56679.51"/>
    <n v="0"/>
    <n v="396756.57"/>
    <n v="328241.03999999998"/>
    <n v="68515.53"/>
    <n v="0.17268908741700231"/>
  </r>
  <r>
    <s v="ORD0407"/>
    <s v="2025-12-20"/>
    <x v="2"/>
    <s v="Q4"/>
    <x v="2"/>
    <x v="3"/>
    <s v="Customer 19"/>
    <x v="0"/>
    <x v="0"/>
    <n v="7"/>
    <n v="32.69"/>
    <n v="0"/>
    <n v="228.83"/>
    <n v="172.05"/>
    <n v="56.78"/>
    <n v="0.2481318009002316"/>
  </r>
  <r>
    <s v="ORD0451"/>
    <s v="2025-12-04"/>
    <x v="2"/>
    <s v="Q4"/>
    <x v="3"/>
    <x v="0"/>
    <s v="Customer 23"/>
    <x v="4"/>
    <x v="1"/>
    <n v="4"/>
    <n v="2695.77"/>
    <n v="0"/>
    <n v="10783.08"/>
    <n v="6919.85"/>
    <n v="3863.23"/>
    <n v="0.35826776765080109"/>
  </r>
  <r>
    <s v="ORD0606"/>
    <s v="2025-12-06"/>
    <x v="2"/>
    <s v="Q4"/>
    <x v="1"/>
    <x v="0"/>
    <s v="Customer 6"/>
    <x v="4"/>
    <x v="1"/>
    <n v="5"/>
    <n v="2630.53"/>
    <n v="0"/>
    <n v="13152.65"/>
    <n v="8265.02"/>
    <n v="4887.63"/>
    <n v="0.37160800294997587"/>
  </r>
  <r>
    <s v="ORD0621"/>
    <s v="2025-12-18"/>
    <x v="2"/>
    <s v="Q4"/>
    <x v="3"/>
    <x v="4"/>
    <s v="Customer 2"/>
    <x v="5"/>
    <x v="1"/>
    <n v="3"/>
    <n v="846.1"/>
    <n v="0"/>
    <n v="2538.3000000000002"/>
    <n v="1749.21"/>
    <n v="789.09"/>
    <n v="0.31087341921758654"/>
  </r>
  <r>
    <s v="ORD0695"/>
    <s v="2025-12-16"/>
    <x v="2"/>
    <s v="Q4"/>
    <x v="3"/>
    <x v="2"/>
    <s v="Customer 38"/>
    <x v="0"/>
    <x v="0"/>
    <n v="5"/>
    <n v="32.840000000000003"/>
    <n v="0"/>
    <n v="164.2"/>
    <n v="124.03"/>
    <n v="40.17"/>
    <n v="0.24464068209500611"/>
  </r>
  <r>
    <s v="ORD0810"/>
    <s v="2025-12-01"/>
    <x v="2"/>
    <s v="Q4"/>
    <x v="3"/>
    <x v="4"/>
    <s v="Customer 9"/>
    <x v="7"/>
    <x v="2"/>
    <n v="1"/>
    <n v="8447.7099999999991"/>
    <n v="0"/>
    <n v="8447.7099999999991"/>
    <n v="6095.73"/>
    <n v="2351.98"/>
    <n v="0.27841628086191411"/>
  </r>
  <r>
    <s v="ORD0003"/>
    <s v="2025-02-06"/>
    <x v="3"/>
    <s v="Q1"/>
    <x v="3"/>
    <x v="3"/>
    <s v="Customer 49"/>
    <x v="7"/>
    <x v="2"/>
    <n v="1"/>
    <n v="7980.44"/>
    <n v="0"/>
    <n v="7980.44"/>
    <n v="4863.13"/>
    <n v="3117.31"/>
    <n v="0.39061881299777956"/>
  </r>
  <r>
    <s v="ORD0038"/>
    <s v="2025-02-19"/>
    <x v="3"/>
    <s v="Q1"/>
    <x v="0"/>
    <x v="4"/>
    <s v="Customer 7"/>
    <x v="0"/>
    <x v="0"/>
    <n v="3"/>
    <n v="29.22"/>
    <n v="0"/>
    <n v="87.66"/>
    <n v="65.64"/>
    <n v="22.02"/>
    <n v="0.25119780971937028"/>
  </r>
  <r>
    <s v="ORD0063"/>
    <s v="2025-02-10"/>
    <x v="3"/>
    <s v="Q1"/>
    <x v="2"/>
    <x v="5"/>
    <s v="Customer 8"/>
    <x v="4"/>
    <x v="1"/>
    <n v="3"/>
    <n v="2619.11"/>
    <n v="0"/>
    <n v="7857.33"/>
    <n v="5467.79"/>
    <n v="2389.54"/>
    <n v="0.30411602923639453"/>
  </r>
  <r>
    <s v="ORD0079"/>
    <s v="2025-02-10"/>
    <x v="3"/>
    <s v="Q1"/>
    <x v="2"/>
    <x v="0"/>
    <s v="Customer 12"/>
    <x v="8"/>
    <x v="3"/>
    <n v="8"/>
    <n v="1435.06"/>
    <n v="0"/>
    <n v="11480.48"/>
    <n v="8812.1"/>
    <n v="2668.38"/>
    <n v="0.23242756400429251"/>
  </r>
  <r>
    <s v="ORD0153"/>
    <s v="2025-02-21"/>
    <x v="3"/>
    <s v="Q1"/>
    <x v="1"/>
    <x v="4"/>
    <s v="Customer 5"/>
    <x v="7"/>
    <x v="2"/>
    <n v="2"/>
    <n v="8132.55"/>
    <n v="0"/>
    <n v="16265.1"/>
    <n v="9134.64"/>
    <n v="7130.46"/>
    <n v="0.43839017282402198"/>
  </r>
  <r>
    <s v="ORD0164"/>
    <s v="2025-02-02"/>
    <x v="3"/>
    <s v="Q1"/>
    <x v="2"/>
    <x v="4"/>
    <s v="Customer 12"/>
    <x v="0"/>
    <x v="0"/>
    <n v="6"/>
    <n v="31.4"/>
    <n v="0"/>
    <n v="188.4"/>
    <n v="111.3"/>
    <n v="77.099999999999994"/>
    <n v="0.40923566878980888"/>
  </r>
  <r>
    <s v="ORD0286"/>
    <s v="2025-02-23"/>
    <x v="3"/>
    <s v="Q1"/>
    <x v="2"/>
    <x v="3"/>
    <s v="Customer 22"/>
    <x v="1"/>
    <x v="1"/>
    <n v="4"/>
    <n v="25286.89"/>
    <n v="0"/>
    <n v="101147.56"/>
    <n v="71290.570000000007"/>
    <n v="29856.99"/>
    <n v="0.29518250366098797"/>
  </r>
  <r>
    <s v="ORD0303"/>
    <s v="2025-02-13"/>
    <x v="3"/>
    <s v="Q1"/>
    <x v="0"/>
    <x v="5"/>
    <s v="Customer 21"/>
    <x v="2"/>
    <x v="2"/>
    <n v="6"/>
    <n v="4115.79"/>
    <n v="0"/>
    <n v="24694.74"/>
    <n v="17971.560000000001"/>
    <n v="6723.18"/>
    <n v="0.27225149971208445"/>
  </r>
  <r>
    <s v="ORD0369"/>
    <s v="2025-02-20"/>
    <x v="3"/>
    <s v="Q1"/>
    <x v="2"/>
    <x v="1"/>
    <s v="Customer 12"/>
    <x v="9"/>
    <x v="3"/>
    <n v="4"/>
    <n v="525.63"/>
    <n v="0"/>
    <n v="2102.52"/>
    <n v="1737.11"/>
    <n v="365.41"/>
    <n v="0.17379620645701349"/>
  </r>
  <r>
    <s v="ORD0477"/>
    <s v="2025-02-02"/>
    <x v="3"/>
    <s v="Q1"/>
    <x v="2"/>
    <x v="1"/>
    <s v="Customer 29"/>
    <x v="0"/>
    <x v="0"/>
    <n v="6"/>
    <n v="28.24"/>
    <n v="0"/>
    <n v="169.44"/>
    <n v="134.05000000000001"/>
    <n v="35.39"/>
    <n v="0.20886449480642116"/>
  </r>
  <r>
    <s v="ORD0603"/>
    <s v="2025-02-21"/>
    <x v="3"/>
    <s v="Q1"/>
    <x v="1"/>
    <x v="3"/>
    <s v="Customer 38"/>
    <x v="8"/>
    <x v="3"/>
    <n v="2"/>
    <n v="1367.25"/>
    <n v="0"/>
    <n v="2734.5"/>
    <n v="2071.41"/>
    <n v="663.09"/>
    <n v="0.2424904004388371"/>
  </r>
  <r>
    <s v="ORD0653"/>
    <s v="2025-02-19"/>
    <x v="3"/>
    <s v="Q1"/>
    <x v="2"/>
    <x v="1"/>
    <s v="Customer 32"/>
    <x v="4"/>
    <x v="1"/>
    <n v="5"/>
    <n v="2667.76"/>
    <n v="0"/>
    <n v="13338.8"/>
    <n v="7676.78"/>
    <n v="5662.02"/>
    <n v="0.42447746423966182"/>
  </r>
  <r>
    <s v="ORD0704"/>
    <s v="2025-02-05"/>
    <x v="3"/>
    <s v="Q1"/>
    <x v="0"/>
    <x v="4"/>
    <s v="Customer 7"/>
    <x v="7"/>
    <x v="2"/>
    <n v="8"/>
    <n v="8267.74"/>
    <n v="0"/>
    <n v="66141.919999999998"/>
    <n v="44871.93"/>
    <n v="21269.99"/>
    <n v="0.32158107898893779"/>
  </r>
  <r>
    <s v="ORD0714"/>
    <s v="2025-02-10"/>
    <x v="3"/>
    <s v="Q1"/>
    <x v="3"/>
    <x v="0"/>
    <s v="Customer 35"/>
    <x v="8"/>
    <x v="3"/>
    <n v="8"/>
    <n v="1512.41"/>
    <n v="0"/>
    <n v="12099.28"/>
    <n v="7104.41"/>
    <n v="4994.87"/>
    <n v="0.41282373827202939"/>
  </r>
  <r>
    <s v="ORD0717"/>
    <s v="2025-02-22"/>
    <x v="3"/>
    <s v="Q1"/>
    <x v="1"/>
    <x v="5"/>
    <s v="Customer 11"/>
    <x v="6"/>
    <x v="1"/>
    <n v="1"/>
    <n v="60624.800000000003"/>
    <n v="0"/>
    <n v="60624.800000000003"/>
    <n v="42811.360000000001"/>
    <n v="17813.439999999999"/>
    <n v="0.29383090748340607"/>
  </r>
  <r>
    <s v="ORD0745"/>
    <s v="2025-02-02"/>
    <x v="3"/>
    <s v="Q1"/>
    <x v="1"/>
    <x v="0"/>
    <s v="Customer 30"/>
    <x v="7"/>
    <x v="2"/>
    <n v="8"/>
    <n v="7719.01"/>
    <n v="0"/>
    <n v="61752.08"/>
    <n v="41499.300000000003"/>
    <n v="20252.78"/>
    <n v="0.32796919553155129"/>
  </r>
  <r>
    <s v="ORD0755"/>
    <s v="2025-02-10"/>
    <x v="3"/>
    <s v="Q1"/>
    <x v="1"/>
    <x v="2"/>
    <s v="Customer 1"/>
    <x v="4"/>
    <x v="1"/>
    <n v="4"/>
    <n v="2487.17"/>
    <n v="0"/>
    <n v="9948.68"/>
    <n v="7759.49"/>
    <n v="2189.19"/>
    <n v="0.2200482878130566"/>
  </r>
  <r>
    <s v="ORD0774"/>
    <s v="2025-02-17"/>
    <x v="3"/>
    <s v="Q1"/>
    <x v="3"/>
    <x v="5"/>
    <s v="Customer 35"/>
    <x v="3"/>
    <x v="0"/>
    <n v="6"/>
    <n v="120.41"/>
    <n v="0"/>
    <n v="722.46"/>
    <n v="423.02"/>
    <n v="299.44"/>
    <n v="0.41447277357916007"/>
  </r>
  <r>
    <s v="ORD0802"/>
    <s v="2025-02-23"/>
    <x v="3"/>
    <s v="Q1"/>
    <x v="0"/>
    <x v="2"/>
    <s v="Customer 3"/>
    <x v="2"/>
    <x v="2"/>
    <n v="3"/>
    <n v="4183.72"/>
    <n v="0"/>
    <n v="12551.16"/>
    <n v="10279.200000000001"/>
    <n v="2271.96"/>
    <n v="0.18101593796908017"/>
  </r>
  <r>
    <s v="ORD0822"/>
    <s v="2025-02-03"/>
    <x v="3"/>
    <s v="Q1"/>
    <x v="2"/>
    <x v="4"/>
    <s v="Customer 4"/>
    <x v="3"/>
    <x v="0"/>
    <n v="1"/>
    <n v="118.9"/>
    <n v="0"/>
    <n v="118.9"/>
    <n v="72.73"/>
    <n v="46.17"/>
    <n v="0.38830950378469303"/>
  </r>
  <r>
    <s v="ORD0911"/>
    <s v="2025-02-16"/>
    <x v="3"/>
    <s v="Q1"/>
    <x v="0"/>
    <x v="0"/>
    <s v="Customer 17"/>
    <x v="9"/>
    <x v="3"/>
    <n v="2"/>
    <n v="522.69000000000005"/>
    <n v="0"/>
    <n v="1045.3800000000001"/>
    <n v="787.08"/>
    <n v="258.3"/>
    <n v="0.24708718360787463"/>
  </r>
  <r>
    <s v="ORD0919"/>
    <s v="2025-02-19"/>
    <x v="3"/>
    <s v="Q1"/>
    <x v="3"/>
    <x v="2"/>
    <s v="Customer 2"/>
    <x v="5"/>
    <x v="1"/>
    <n v="2"/>
    <n v="838.68"/>
    <n v="0"/>
    <n v="1677.36"/>
    <n v="1412.67"/>
    <n v="264.69"/>
    <n v="0.15780154528544857"/>
  </r>
  <r>
    <s v="ORD0923"/>
    <s v="2025-02-10"/>
    <x v="3"/>
    <s v="Q1"/>
    <x v="1"/>
    <x v="2"/>
    <s v="Customer 42"/>
    <x v="2"/>
    <x v="2"/>
    <n v="4"/>
    <n v="4843.6499999999996"/>
    <n v="0"/>
    <n v="19374.599999999999"/>
    <n v="15237.38"/>
    <n v="4137.22"/>
    <n v="0.21353834401742491"/>
  </r>
  <r>
    <s v="ORD0938"/>
    <s v="2025-02-03"/>
    <x v="3"/>
    <s v="Q1"/>
    <x v="2"/>
    <x v="1"/>
    <s v="Customer 14"/>
    <x v="4"/>
    <x v="1"/>
    <n v="8"/>
    <n v="2735.19"/>
    <n v="0"/>
    <n v="21881.52"/>
    <n v="15979.45"/>
    <n v="5902.07"/>
    <n v="0.26972851977376339"/>
  </r>
  <r>
    <s v="ORD0982"/>
    <s v="2025-02-04"/>
    <x v="3"/>
    <s v="Q1"/>
    <x v="0"/>
    <x v="0"/>
    <s v="Customer 35"/>
    <x v="3"/>
    <x v="0"/>
    <n v="6"/>
    <n v="126.65"/>
    <n v="0"/>
    <n v="759.9"/>
    <n v="534.45000000000005"/>
    <n v="225.45"/>
    <n v="0.29668377418081326"/>
  </r>
  <r>
    <s v="ORD0108"/>
    <s v="2025-01-24"/>
    <x v="4"/>
    <s v="Q1"/>
    <x v="0"/>
    <x v="3"/>
    <s v="Customer 16"/>
    <x v="2"/>
    <x v="2"/>
    <n v="3"/>
    <n v="4604.26"/>
    <n v="0"/>
    <n v="13812.78"/>
    <n v="11072.45"/>
    <n v="2740.33"/>
    <n v="0.19839091044670223"/>
  </r>
  <r>
    <s v="ORD0135"/>
    <s v="2025-01-23"/>
    <x v="4"/>
    <s v="Q1"/>
    <x v="0"/>
    <x v="0"/>
    <s v="Customer 19"/>
    <x v="1"/>
    <x v="1"/>
    <n v="3"/>
    <n v="25175.599999999999"/>
    <n v="0"/>
    <n v="75526.8"/>
    <n v="54906.42"/>
    <n v="20620.38"/>
    <n v="0.27302070258504268"/>
  </r>
  <r>
    <s v="ORD0158"/>
    <s v="2025-01-05"/>
    <x v="4"/>
    <s v="Q1"/>
    <x v="3"/>
    <x v="2"/>
    <s v="Customer 1"/>
    <x v="9"/>
    <x v="3"/>
    <n v="8"/>
    <n v="466.04"/>
    <n v="0"/>
    <n v="3728.32"/>
    <n v="2480.9499999999998"/>
    <n v="1247.3699999999999"/>
    <n v="0.33456623894944637"/>
  </r>
  <r>
    <s v="ORD0163"/>
    <s v="2025-01-14"/>
    <x v="4"/>
    <s v="Q1"/>
    <x v="1"/>
    <x v="1"/>
    <s v="Customer 50"/>
    <x v="0"/>
    <x v="0"/>
    <n v="6"/>
    <n v="27.24"/>
    <n v="0"/>
    <n v="163.44"/>
    <n v="102.24"/>
    <n v="61.2"/>
    <n v="0.37444933920704848"/>
  </r>
  <r>
    <s v="ORD0211"/>
    <s v="2025-01-21"/>
    <x v="4"/>
    <s v="Q1"/>
    <x v="3"/>
    <x v="0"/>
    <s v="Customer 32"/>
    <x v="1"/>
    <x v="1"/>
    <n v="8"/>
    <n v="26240.400000000001"/>
    <n v="0"/>
    <n v="209923.20000000001"/>
    <n v="141131.28"/>
    <n v="68791.92"/>
    <n v="0.32770041615219275"/>
  </r>
  <r>
    <s v="ORD0233"/>
    <s v="2025-01-11"/>
    <x v="4"/>
    <s v="Q1"/>
    <x v="1"/>
    <x v="4"/>
    <s v="Customer 33"/>
    <x v="3"/>
    <x v="0"/>
    <n v="2"/>
    <n v="131.44"/>
    <n v="0"/>
    <n v="262.88"/>
    <n v="187.1"/>
    <n v="75.78"/>
    <n v="0.28826841144248327"/>
  </r>
  <r>
    <s v="ORD0243"/>
    <s v="2025-01-17"/>
    <x v="4"/>
    <s v="Q1"/>
    <x v="0"/>
    <x v="2"/>
    <s v="Customer 24"/>
    <x v="4"/>
    <x v="1"/>
    <n v="1"/>
    <n v="2651"/>
    <n v="0"/>
    <n v="2651"/>
    <n v="1932.83"/>
    <n v="718.17"/>
    <n v="0.2709053187476424"/>
  </r>
  <r>
    <s v="ORD0341"/>
    <s v="2025-01-26"/>
    <x v="4"/>
    <s v="Q1"/>
    <x v="1"/>
    <x v="2"/>
    <s v="Customer 25"/>
    <x v="8"/>
    <x v="3"/>
    <n v="2"/>
    <n v="1570.5"/>
    <n v="0"/>
    <n v="3141"/>
    <n v="2323.71"/>
    <n v="817.29"/>
    <n v="0.26020057306590255"/>
  </r>
  <r>
    <s v="ORD0398"/>
    <s v="2025-01-02"/>
    <x v="4"/>
    <s v="Q1"/>
    <x v="0"/>
    <x v="0"/>
    <s v="Customer 42"/>
    <x v="4"/>
    <x v="1"/>
    <n v="7"/>
    <n v="2363.5500000000002"/>
    <n v="0"/>
    <n v="16544.849999999999"/>
    <n v="11012.63"/>
    <n v="5532.22"/>
    <n v="0.33437716268204309"/>
  </r>
  <r>
    <s v="ORD0436"/>
    <s v="2025-01-27"/>
    <x v="4"/>
    <s v="Q1"/>
    <x v="1"/>
    <x v="3"/>
    <s v="Customer 44"/>
    <x v="2"/>
    <x v="2"/>
    <n v="1"/>
    <n v="4866.3100000000004"/>
    <n v="0"/>
    <n v="4866.3100000000004"/>
    <n v="4078.58"/>
    <n v="787.73"/>
    <n v="0.16187419214969864"/>
  </r>
  <r>
    <s v="ORD0452"/>
    <s v="2025-01-19"/>
    <x v="4"/>
    <s v="Q1"/>
    <x v="2"/>
    <x v="0"/>
    <s v="Customer 38"/>
    <x v="8"/>
    <x v="3"/>
    <n v="7"/>
    <n v="1446.36"/>
    <n v="0"/>
    <n v="10124.52"/>
    <n v="7851.64"/>
    <n v="2272.88"/>
    <n v="0.22449261792163974"/>
  </r>
  <r>
    <s v="ORD0538"/>
    <s v="2025-01-05"/>
    <x v="4"/>
    <s v="Q1"/>
    <x v="0"/>
    <x v="5"/>
    <s v="Customer 20"/>
    <x v="1"/>
    <x v="1"/>
    <n v="6"/>
    <n v="23070.11"/>
    <n v="0"/>
    <n v="138420.66"/>
    <n v="85603.43"/>
    <n v="52817.23"/>
    <n v="0.38157042453055778"/>
  </r>
  <r>
    <s v="ORD0539"/>
    <s v="2025-01-21"/>
    <x v="4"/>
    <s v="Q1"/>
    <x v="3"/>
    <x v="0"/>
    <s v="Customer 11"/>
    <x v="4"/>
    <x v="1"/>
    <n v="4"/>
    <n v="2299.5100000000002"/>
    <n v="0"/>
    <n v="9198.0400000000009"/>
    <n v="6355.52"/>
    <n v="2842.52"/>
    <n v="0.30903540319459361"/>
  </r>
  <r>
    <s v="ORD0620"/>
    <s v="2025-01-20"/>
    <x v="4"/>
    <s v="Q1"/>
    <x v="0"/>
    <x v="3"/>
    <s v="Customer 14"/>
    <x v="1"/>
    <x v="1"/>
    <n v="1"/>
    <n v="23141.8"/>
    <n v="0"/>
    <n v="23141.8"/>
    <n v="18433.13"/>
    <n v="4708.67"/>
    <n v="0.20347034370705824"/>
  </r>
  <r>
    <s v="ORD0678"/>
    <s v="2025-01-03"/>
    <x v="4"/>
    <s v="Q1"/>
    <x v="0"/>
    <x v="2"/>
    <s v="Customer 28"/>
    <x v="3"/>
    <x v="0"/>
    <n v="1"/>
    <n v="121.6"/>
    <n v="0"/>
    <n v="121.6"/>
    <n v="101.28"/>
    <n v="20.32"/>
    <n v="0.16710526315789476"/>
  </r>
  <r>
    <s v="ORD0731"/>
    <s v="2025-01-13"/>
    <x v="4"/>
    <s v="Q1"/>
    <x v="3"/>
    <x v="1"/>
    <s v="Customer 28"/>
    <x v="8"/>
    <x v="3"/>
    <n v="8"/>
    <n v="1631.11"/>
    <n v="0"/>
    <n v="13048.88"/>
    <n v="8573.67"/>
    <n v="4475.21"/>
    <n v="0.34295740324073792"/>
  </r>
  <r>
    <s v="ORD0986"/>
    <s v="2025-01-04"/>
    <x v="4"/>
    <s v="Q1"/>
    <x v="0"/>
    <x v="3"/>
    <s v="Customer 13"/>
    <x v="6"/>
    <x v="1"/>
    <n v="1"/>
    <n v="54817.81"/>
    <n v="0"/>
    <n v="54817.81"/>
    <n v="43479.65"/>
    <n v="11338.16"/>
    <n v="0.20683350903657041"/>
  </r>
  <r>
    <s v="ORD0027"/>
    <s v="2025-07-22"/>
    <x v="5"/>
    <s v="Q3"/>
    <x v="2"/>
    <x v="5"/>
    <s v="Customer 33"/>
    <x v="5"/>
    <x v="1"/>
    <n v="4"/>
    <n v="845.34"/>
    <n v="0"/>
    <n v="3381.36"/>
    <n v="2121.1799999999998"/>
    <n v="1260.18"/>
    <n v="0.37268436368798352"/>
  </r>
  <r>
    <s v="ORD0041"/>
    <s v="2025-07-29"/>
    <x v="5"/>
    <s v="Q3"/>
    <x v="0"/>
    <x v="3"/>
    <s v="Customer 44"/>
    <x v="1"/>
    <x v="1"/>
    <n v="6"/>
    <n v="26412.78"/>
    <n v="0"/>
    <n v="158476.68"/>
    <n v="118234"/>
    <n v="40242.68"/>
    <n v="0.25393439589976269"/>
  </r>
  <r>
    <s v="ORD0066"/>
    <s v="2025-07-24"/>
    <x v="5"/>
    <s v="Q3"/>
    <x v="3"/>
    <x v="4"/>
    <s v="Customer 46"/>
    <x v="0"/>
    <x v="0"/>
    <n v="6"/>
    <n v="27.32"/>
    <n v="0"/>
    <n v="163.92"/>
    <n v="139.19"/>
    <n v="24.73"/>
    <n v="0.15086627623230844"/>
  </r>
  <r>
    <s v="ORD0073"/>
    <s v="2025-07-13"/>
    <x v="5"/>
    <s v="Q3"/>
    <x v="0"/>
    <x v="3"/>
    <s v="Customer 2"/>
    <x v="0"/>
    <x v="0"/>
    <n v="5"/>
    <n v="27.55"/>
    <n v="0"/>
    <n v="137.75"/>
    <n v="114.55"/>
    <n v="23.2"/>
    <n v="0.16842105263157894"/>
  </r>
  <r>
    <s v="ORD0173"/>
    <s v="2025-07-26"/>
    <x v="5"/>
    <s v="Q3"/>
    <x v="0"/>
    <x v="3"/>
    <s v="Customer 38"/>
    <x v="9"/>
    <x v="3"/>
    <n v="6"/>
    <n v="532.58000000000004"/>
    <n v="0"/>
    <n v="3195.48"/>
    <n v="2018.06"/>
    <n v="1177.42"/>
    <n v="0.36846420569053789"/>
  </r>
  <r>
    <s v="ORD0222"/>
    <s v="2025-07-29"/>
    <x v="5"/>
    <s v="Q3"/>
    <x v="2"/>
    <x v="2"/>
    <s v="Customer 33"/>
    <x v="5"/>
    <x v="1"/>
    <n v="1"/>
    <n v="869.66"/>
    <n v="0"/>
    <n v="869.66"/>
    <n v="503.12"/>
    <n v="366.54"/>
    <n v="0.42147505921854522"/>
  </r>
  <r>
    <s v="ORD0327"/>
    <s v="2025-07-26"/>
    <x v="5"/>
    <s v="Q3"/>
    <x v="2"/>
    <x v="5"/>
    <s v="Customer 32"/>
    <x v="0"/>
    <x v="0"/>
    <n v="8"/>
    <n v="32.01"/>
    <n v="0"/>
    <n v="256.08"/>
    <n v="157.74"/>
    <n v="98.34"/>
    <n v="0.38402061855670105"/>
  </r>
  <r>
    <s v="ORD0362"/>
    <s v="2025-07-10"/>
    <x v="5"/>
    <s v="Q3"/>
    <x v="2"/>
    <x v="4"/>
    <s v="Customer 28"/>
    <x v="6"/>
    <x v="1"/>
    <n v="8"/>
    <n v="65358.14"/>
    <n v="0"/>
    <n v="522865.12"/>
    <n v="297192.38"/>
    <n v="225672.74"/>
    <n v="0.43160794508534056"/>
  </r>
  <r>
    <s v="ORD0365"/>
    <s v="2025-07-17"/>
    <x v="5"/>
    <s v="Q3"/>
    <x v="0"/>
    <x v="1"/>
    <s v="Customer 49"/>
    <x v="5"/>
    <x v="1"/>
    <n v="2"/>
    <n v="854.43"/>
    <n v="0"/>
    <n v="1708.86"/>
    <n v="944.63"/>
    <n v="764.23"/>
    <n v="0.44721627283686205"/>
  </r>
  <r>
    <s v="ORD0380"/>
    <s v="2025-07-25"/>
    <x v="5"/>
    <s v="Q3"/>
    <x v="0"/>
    <x v="0"/>
    <s v="Customer 9"/>
    <x v="5"/>
    <x v="1"/>
    <n v="7"/>
    <n v="928.48"/>
    <n v="0"/>
    <n v="6499.36"/>
    <n v="3611.44"/>
    <n v="2887.92"/>
    <n v="0.44433913493020855"/>
  </r>
  <r>
    <s v="ORD0417"/>
    <s v="2025-07-07"/>
    <x v="5"/>
    <s v="Q3"/>
    <x v="0"/>
    <x v="1"/>
    <s v="Customer 48"/>
    <x v="1"/>
    <x v="1"/>
    <n v="7"/>
    <n v="26730.54"/>
    <n v="0"/>
    <n v="187113.78"/>
    <n v="137386.69"/>
    <n v="49727.09"/>
    <n v="0.26575856679288934"/>
  </r>
  <r>
    <s v="ORD0422"/>
    <s v="2025-07-10"/>
    <x v="5"/>
    <s v="Q3"/>
    <x v="3"/>
    <x v="5"/>
    <s v="Customer 39"/>
    <x v="4"/>
    <x v="1"/>
    <n v="3"/>
    <n v="2357.67"/>
    <n v="0"/>
    <n v="7073.01"/>
    <n v="5205.76"/>
    <n v="1867.25"/>
    <n v="0.26399651633462978"/>
  </r>
  <r>
    <s v="ORD0575"/>
    <s v="2025-07-15"/>
    <x v="5"/>
    <s v="Q3"/>
    <x v="1"/>
    <x v="1"/>
    <s v="Customer 4"/>
    <x v="8"/>
    <x v="3"/>
    <n v="4"/>
    <n v="1423.87"/>
    <n v="0"/>
    <n v="5695.48"/>
    <n v="4673.59"/>
    <n v="1021.89"/>
    <n v="0.17942122525230536"/>
  </r>
  <r>
    <s v="ORD0624"/>
    <s v="2025-07-17"/>
    <x v="5"/>
    <s v="Q3"/>
    <x v="1"/>
    <x v="5"/>
    <s v="Customer 16"/>
    <x v="2"/>
    <x v="2"/>
    <n v="2"/>
    <n v="4649.75"/>
    <n v="0"/>
    <n v="9299.5"/>
    <n v="5414.08"/>
    <n v="3885.42"/>
    <n v="0.41780955965374483"/>
  </r>
  <r>
    <s v="ORD0669"/>
    <s v="2025-07-08"/>
    <x v="5"/>
    <s v="Q3"/>
    <x v="0"/>
    <x v="3"/>
    <s v="Customer 32"/>
    <x v="0"/>
    <x v="0"/>
    <n v="5"/>
    <n v="30.02"/>
    <n v="0"/>
    <n v="150.1"/>
    <n v="99.82"/>
    <n v="50.28"/>
    <n v="0.33497668221185878"/>
  </r>
  <r>
    <s v="ORD0799"/>
    <s v="2025-07-04"/>
    <x v="5"/>
    <s v="Q3"/>
    <x v="1"/>
    <x v="5"/>
    <s v="Customer 5"/>
    <x v="3"/>
    <x v="0"/>
    <n v="1"/>
    <n v="111.11"/>
    <n v="0"/>
    <n v="111.11"/>
    <n v="69.61"/>
    <n v="41.5"/>
    <n v="0.37350373503735035"/>
  </r>
  <r>
    <s v="ORD0809"/>
    <s v="2025-07-21"/>
    <x v="5"/>
    <s v="Q3"/>
    <x v="0"/>
    <x v="5"/>
    <s v="Customer 42"/>
    <x v="0"/>
    <x v="0"/>
    <n v="2"/>
    <n v="32.020000000000003"/>
    <n v="0"/>
    <n v="64.040000000000006"/>
    <n v="38.56"/>
    <n v="25.48"/>
    <n v="0.39787632729544031"/>
  </r>
  <r>
    <s v="ORD0820"/>
    <s v="2025-07-14"/>
    <x v="5"/>
    <s v="Q3"/>
    <x v="2"/>
    <x v="0"/>
    <s v="Customer 24"/>
    <x v="3"/>
    <x v="0"/>
    <n v="7"/>
    <n v="124.35"/>
    <n v="0"/>
    <n v="870.45"/>
    <n v="667.98"/>
    <n v="202.47"/>
    <n v="0.23260382560744441"/>
  </r>
  <r>
    <s v="ORD0852"/>
    <s v="2025-07-07"/>
    <x v="5"/>
    <s v="Q3"/>
    <x v="3"/>
    <x v="3"/>
    <s v="Customer 4"/>
    <x v="6"/>
    <x v="1"/>
    <n v="1"/>
    <n v="56940.03"/>
    <n v="0"/>
    <n v="56940.03"/>
    <n v="31477.73"/>
    <n v="25462.3"/>
    <n v="0.4471774953402729"/>
  </r>
  <r>
    <s v="ORD0909"/>
    <s v="2025-07-25"/>
    <x v="5"/>
    <s v="Q3"/>
    <x v="1"/>
    <x v="3"/>
    <s v="Customer 29"/>
    <x v="4"/>
    <x v="1"/>
    <n v="2"/>
    <n v="2307.0700000000002"/>
    <n v="0"/>
    <n v="4614.1400000000003"/>
    <n v="3012.05"/>
    <n v="1602.09"/>
    <n v="0.3472131318078775"/>
  </r>
  <r>
    <s v="ORD0922"/>
    <s v="2025-07-05"/>
    <x v="5"/>
    <s v="Q3"/>
    <x v="0"/>
    <x v="0"/>
    <s v="Customer 7"/>
    <x v="2"/>
    <x v="2"/>
    <n v="5"/>
    <n v="4188.3900000000003"/>
    <n v="0"/>
    <n v="20941.95"/>
    <n v="14075.34"/>
    <n v="6866.61"/>
    <n v="0.32788780414431318"/>
  </r>
  <r>
    <s v="ORD0051"/>
    <s v="2025-06-29"/>
    <x v="6"/>
    <s v="Q2"/>
    <x v="0"/>
    <x v="3"/>
    <s v="Customer 21"/>
    <x v="4"/>
    <x v="1"/>
    <n v="1"/>
    <n v="2419.59"/>
    <n v="0"/>
    <n v="2419.59"/>
    <n v="1765.33"/>
    <n v="654.26"/>
    <n v="0.27040118367161375"/>
  </r>
  <r>
    <s v="ORD0113"/>
    <s v="2025-06-12"/>
    <x v="6"/>
    <s v="Q2"/>
    <x v="1"/>
    <x v="4"/>
    <s v="Customer 9"/>
    <x v="2"/>
    <x v="2"/>
    <n v="3"/>
    <n v="4613.74"/>
    <n v="0"/>
    <n v="13841.22"/>
    <n v="10087.290000000001"/>
    <n v="3753.93"/>
    <n v="0.27121380918734045"/>
  </r>
  <r>
    <s v="ORD0302"/>
    <s v="2025-06-10"/>
    <x v="6"/>
    <s v="Q2"/>
    <x v="2"/>
    <x v="0"/>
    <s v="Customer 28"/>
    <x v="3"/>
    <x v="0"/>
    <n v="3"/>
    <n v="121.27"/>
    <n v="0"/>
    <n v="363.81"/>
    <n v="297.88"/>
    <n v="65.930000000000007"/>
    <n v="0.18122096698826312"/>
  </r>
  <r>
    <s v="ORD0339"/>
    <s v="2025-06-16"/>
    <x v="6"/>
    <s v="Q2"/>
    <x v="1"/>
    <x v="5"/>
    <s v="Customer 28"/>
    <x v="2"/>
    <x v="2"/>
    <n v="7"/>
    <n v="4462.5600000000004"/>
    <n v="0"/>
    <n v="31237.919999999998"/>
    <n v="22980.62"/>
    <n v="8257.2999999999993"/>
    <n v="0.26433578163975063"/>
  </r>
  <r>
    <s v="ORD0416"/>
    <s v="2025-06-11"/>
    <x v="6"/>
    <s v="Q2"/>
    <x v="0"/>
    <x v="1"/>
    <s v="Customer 31"/>
    <x v="6"/>
    <x v="1"/>
    <n v="2"/>
    <n v="54592.43"/>
    <n v="0"/>
    <n v="109184.86"/>
    <n v="89597.66"/>
    <n v="19587.2"/>
    <n v="0.17939483551107727"/>
  </r>
  <r>
    <s v="ORD0418"/>
    <s v="2025-06-12"/>
    <x v="6"/>
    <s v="Q2"/>
    <x v="2"/>
    <x v="3"/>
    <s v="Customer 27"/>
    <x v="2"/>
    <x v="2"/>
    <n v="7"/>
    <n v="4423.62"/>
    <n v="0"/>
    <n v="30965.34"/>
    <n v="25831.17"/>
    <n v="5134.17"/>
    <n v="0.16580376640463176"/>
  </r>
  <r>
    <s v="ORD0626"/>
    <s v="2025-06-15"/>
    <x v="6"/>
    <s v="Q2"/>
    <x v="0"/>
    <x v="4"/>
    <s v="Customer 30"/>
    <x v="7"/>
    <x v="2"/>
    <n v="8"/>
    <n v="7221.65"/>
    <n v="0"/>
    <n v="57773.2"/>
    <n v="43087.92"/>
    <n v="14685.28"/>
    <n v="0.25418844723851197"/>
  </r>
  <r>
    <s v="ORD0715"/>
    <s v="2025-06-27"/>
    <x v="6"/>
    <s v="Q2"/>
    <x v="1"/>
    <x v="5"/>
    <s v="Customer 1"/>
    <x v="3"/>
    <x v="0"/>
    <n v="8"/>
    <n v="130.97999999999999"/>
    <n v="0"/>
    <n v="1047.8399999999999"/>
    <n v="719.03"/>
    <n v="328.81"/>
    <n v="0.31379790807756913"/>
  </r>
  <r>
    <s v="ORD0088"/>
    <s v="2025-03-10"/>
    <x v="7"/>
    <s v="Q1"/>
    <x v="2"/>
    <x v="1"/>
    <s v="Customer 7"/>
    <x v="5"/>
    <x v="1"/>
    <n v="6"/>
    <n v="830.97"/>
    <n v="0"/>
    <n v="4985.82"/>
    <n v="4038.56"/>
    <n v="947.26"/>
    <n v="0.18999081394835754"/>
  </r>
  <r>
    <s v="ORD0138"/>
    <s v="2025-03-28"/>
    <x v="7"/>
    <s v="Q1"/>
    <x v="1"/>
    <x v="3"/>
    <s v="Customer 41"/>
    <x v="2"/>
    <x v="2"/>
    <n v="6"/>
    <n v="4169.29"/>
    <n v="0"/>
    <n v="25015.74"/>
    <n v="18837.09"/>
    <n v="6178.65"/>
    <n v="0.24699049478448365"/>
  </r>
  <r>
    <s v="ORD0149"/>
    <s v="2025-03-24"/>
    <x v="7"/>
    <s v="Q1"/>
    <x v="2"/>
    <x v="4"/>
    <s v="Customer 48"/>
    <x v="0"/>
    <x v="0"/>
    <n v="5"/>
    <n v="28"/>
    <n v="0"/>
    <n v="140"/>
    <n v="97.78"/>
    <n v="42.22"/>
    <n v="0.30157142857142855"/>
  </r>
  <r>
    <s v="ORD0275"/>
    <s v="2025-03-09"/>
    <x v="7"/>
    <s v="Q1"/>
    <x v="3"/>
    <x v="2"/>
    <s v="Customer 41"/>
    <x v="6"/>
    <x v="1"/>
    <n v="5"/>
    <n v="61038.97"/>
    <n v="0"/>
    <n v="305194.84999999998"/>
    <n v="168531.46"/>
    <n v="136663.39000000001"/>
    <n v="0.44779061638818618"/>
  </r>
  <r>
    <s v="ORD0308"/>
    <s v="2025-03-22"/>
    <x v="7"/>
    <s v="Q1"/>
    <x v="2"/>
    <x v="3"/>
    <s v="Customer 12"/>
    <x v="9"/>
    <x v="3"/>
    <n v="7"/>
    <n v="525.53"/>
    <n v="0"/>
    <n v="3678.71"/>
    <n v="2794.84"/>
    <n v="883.87"/>
    <n v="0.2402662889980455"/>
  </r>
  <r>
    <s v="ORD0344"/>
    <s v="2025-03-27"/>
    <x v="7"/>
    <s v="Q1"/>
    <x v="0"/>
    <x v="1"/>
    <s v="Customer 43"/>
    <x v="9"/>
    <x v="3"/>
    <n v="1"/>
    <n v="483.19"/>
    <n v="0"/>
    <n v="483.19"/>
    <n v="365.9"/>
    <n v="117.29"/>
    <n v="0.24274095076470956"/>
  </r>
  <r>
    <s v="ORD0349"/>
    <s v="2025-03-29"/>
    <x v="7"/>
    <s v="Q1"/>
    <x v="1"/>
    <x v="3"/>
    <s v="Customer 13"/>
    <x v="7"/>
    <x v="2"/>
    <n v="5"/>
    <n v="7978.57"/>
    <n v="0"/>
    <n v="39892.85"/>
    <n v="29398.03"/>
    <n v="10494.82"/>
    <n v="0.26307521272609002"/>
  </r>
  <r>
    <s v="ORD0499"/>
    <s v="2025-03-14"/>
    <x v="7"/>
    <s v="Q1"/>
    <x v="2"/>
    <x v="5"/>
    <s v="Customer 38"/>
    <x v="8"/>
    <x v="3"/>
    <n v="1"/>
    <n v="1424.7"/>
    <n v="0"/>
    <n v="1424.7"/>
    <n v="1077.56"/>
    <n v="347.14"/>
    <n v="0.24365831403102406"/>
  </r>
  <r>
    <s v="ORD0568"/>
    <s v="2025-03-27"/>
    <x v="7"/>
    <s v="Q1"/>
    <x v="2"/>
    <x v="4"/>
    <s v="Customer 47"/>
    <x v="8"/>
    <x v="3"/>
    <n v="6"/>
    <n v="1377.12"/>
    <n v="0"/>
    <n v="8262.7199999999993"/>
    <n v="5438.03"/>
    <n v="2824.69"/>
    <n v="0.3418595813485148"/>
  </r>
  <r>
    <s v="ORD0602"/>
    <s v="2025-03-08"/>
    <x v="7"/>
    <s v="Q1"/>
    <x v="0"/>
    <x v="2"/>
    <s v="Customer 1"/>
    <x v="8"/>
    <x v="3"/>
    <n v="1"/>
    <n v="1573.27"/>
    <n v="0"/>
    <n v="1573.27"/>
    <n v="900.54"/>
    <n v="672.73"/>
    <n v="0.42759983982406075"/>
  </r>
  <r>
    <s v="ORD0701"/>
    <s v="2025-03-05"/>
    <x v="7"/>
    <s v="Q1"/>
    <x v="0"/>
    <x v="2"/>
    <s v="Customer 3"/>
    <x v="2"/>
    <x v="2"/>
    <n v="4"/>
    <n v="4512.9399999999996"/>
    <n v="0"/>
    <n v="18051.759999999998"/>
    <n v="15260.79"/>
    <n v="2790.97"/>
    <n v="0.15460930125372818"/>
  </r>
  <r>
    <s v="ORD0705"/>
    <s v="2025-03-15"/>
    <x v="7"/>
    <s v="Q1"/>
    <x v="1"/>
    <x v="3"/>
    <s v="Customer 5"/>
    <x v="1"/>
    <x v="1"/>
    <n v="4"/>
    <n v="26994.57"/>
    <n v="0"/>
    <n v="107978.28"/>
    <n v="59939.5"/>
    <n v="48038.78"/>
    <n v="0.444892991442353"/>
  </r>
  <r>
    <s v="ORD0708"/>
    <s v="2025-03-04"/>
    <x v="7"/>
    <s v="Q1"/>
    <x v="1"/>
    <x v="4"/>
    <s v="Customer 21"/>
    <x v="3"/>
    <x v="0"/>
    <n v="7"/>
    <n v="111.05"/>
    <n v="0"/>
    <n v="777.35"/>
    <n v="656.09"/>
    <n v="121.26"/>
    <n v="0.15599150961600308"/>
  </r>
  <r>
    <s v="ORD0815"/>
    <s v="2025-03-11"/>
    <x v="7"/>
    <s v="Q1"/>
    <x v="3"/>
    <x v="0"/>
    <s v="Customer 2"/>
    <x v="6"/>
    <x v="1"/>
    <n v="6"/>
    <n v="61118.57"/>
    <n v="0"/>
    <n v="366711.42"/>
    <n v="286201.40999999997"/>
    <n v="80510.009999999995"/>
    <n v="0.21954595796334894"/>
  </r>
  <r>
    <s v="ORD0840"/>
    <s v="2025-03-02"/>
    <x v="7"/>
    <s v="Q1"/>
    <x v="1"/>
    <x v="0"/>
    <s v="Customer 2"/>
    <x v="0"/>
    <x v="0"/>
    <n v="1"/>
    <n v="30.07"/>
    <n v="0"/>
    <n v="30.07"/>
    <n v="22.49"/>
    <n v="7.58"/>
    <n v="0.25207848353841039"/>
  </r>
  <r>
    <s v="ORD0940"/>
    <s v="2025-03-15"/>
    <x v="7"/>
    <s v="Q1"/>
    <x v="0"/>
    <x v="2"/>
    <s v="Customer 4"/>
    <x v="3"/>
    <x v="0"/>
    <n v="7"/>
    <n v="114.61"/>
    <n v="0"/>
    <n v="802.27"/>
    <n v="526.47"/>
    <n v="275.8"/>
    <n v="0.34377453974347788"/>
  </r>
  <r>
    <s v="ORD0002"/>
    <s v="2025-05-03"/>
    <x v="8"/>
    <s v="Q2"/>
    <x v="0"/>
    <x v="1"/>
    <s v="Customer 32"/>
    <x v="4"/>
    <x v="1"/>
    <n v="5"/>
    <n v="2647.84"/>
    <n v="0"/>
    <n v="13239.2"/>
    <n v="10347.030000000001"/>
    <n v="2892.17"/>
    <n v="0.21845504260076137"/>
  </r>
  <r>
    <s v="ORD0095"/>
    <s v="2025-05-21"/>
    <x v="8"/>
    <s v="Q2"/>
    <x v="0"/>
    <x v="4"/>
    <s v="Customer 34"/>
    <x v="5"/>
    <x v="1"/>
    <n v="3"/>
    <n v="915.88"/>
    <n v="0"/>
    <n v="2747.64"/>
    <n v="2220.48"/>
    <n v="527.16"/>
    <n v="0.1918591955277984"/>
  </r>
  <r>
    <s v="ORD0141"/>
    <s v="2025-05-21"/>
    <x v="8"/>
    <s v="Q2"/>
    <x v="1"/>
    <x v="1"/>
    <s v="Customer 43"/>
    <x v="0"/>
    <x v="0"/>
    <n v="2"/>
    <n v="29.05"/>
    <n v="0"/>
    <n v="58.1"/>
    <n v="37.340000000000003"/>
    <n v="20.76"/>
    <n v="0.35731497418244407"/>
  </r>
  <r>
    <s v="ORD0248"/>
    <s v="2025-05-24"/>
    <x v="8"/>
    <s v="Q2"/>
    <x v="3"/>
    <x v="0"/>
    <s v="Customer 15"/>
    <x v="0"/>
    <x v="0"/>
    <n v="6"/>
    <n v="31.66"/>
    <n v="0"/>
    <n v="189.96"/>
    <n v="133.13"/>
    <n v="56.83"/>
    <n v="0.29916824594651503"/>
  </r>
  <r>
    <s v="ORD0270"/>
    <s v="2025-05-02"/>
    <x v="8"/>
    <s v="Q2"/>
    <x v="2"/>
    <x v="5"/>
    <s v="Customer 18"/>
    <x v="1"/>
    <x v="1"/>
    <n v="8"/>
    <n v="22663.75"/>
    <n v="0"/>
    <n v="181310"/>
    <n v="134180.88"/>
    <n v="47129.120000000003"/>
    <n v="0.25993668302906625"/>
  </r>
  <r>
    <s v="ORD0353"/>
    <s v="2025-05-08"/>
    <x v="8"/>
    <s v="Q2"/>
    <x v="1"/>
    <x v="2"/>
    <s v="Customer 11"/>
    <x v="1"/>
    <x v="1"/>
    <n v="8"/>
    <n v="24689.54"/>
    <n v="0"/>
    <n v="197516.32"/>
    <n v="136218.97"/>
    <n v="61297.35"/>
    <n v="0.31034068475961885"/>
  </r>
  <r>
    <s v="ORD0400"/>
    <s v="2025-05-30"/>
    <x v="8"/>
    <s v="Q2"/>
    <x v="2"/>
    <x v="3"/>
    <s v="Customer 5"/>
    <x v="1"/>
    <x v="1"/>
    <n v="8"/>
    <n v="24557.55"/>
    <n v="0"/>
    <n v="196460.4"/>
    <n v="114651.72"/>
    <n v="81808.679999999993"/>
    <n v="0.416413078666235"/>
  </r>
  <r>
    <s v="ORD0449"/>
    <s v="2025-05-03"/>
    <x v="8"/>
    <s v="Q2"/>
    <x v="3"/>
    <x v="5"/>
    <s v="Customer 3"/>
    <x v="2"/>
    <x v="2"/>
    <n v="6"/>
    <n v="4606.93"/>
    <n v="0"/>
    <n v="27641.58"/>
    <n v="22017.97"/>
    <n v="5623.61"/>
    <n v="0.20344748744463953"/>
  </r>
  <r>
    <s v="ORD0519"/>
    <s v="2025-05-31"/>
    <x v="8"/>
    <s v="Q2"/>
    <x v="3"/>
    <x v="2"/>
    <s v="Customer 36"/>
    <x v="3"/>
    <x v="0"/>
    <n v="4"/>
    <n v="109.65"/>
    <n v="0"/>
    <n v="438.6"/>
    <n v="245.23"/>
    <n v="193.37"/>
    <n v="0.44088007295941634"/>
  </r>
  <r>
    <s v="ORD0527"/>
    <s v="2025-05-10"/>
    <x v="8"/>
    <s v="Q2"/>
    <x v="3"/>
    <x v="2"/>
    <s v="Customer 34"/>
    <x v="1"/>
    <x v="1"/>
    <n v="6"/>
    <n v="25215.26"/>
    <n v="0"/>
    <n v="151291.56"/>
    <n v="90581.52"/>
    <n v="60710.04"/>
    <n v="0.40127843218749282"/>
  </r>
  <r>
    <s v="ORD0550"/>
    <s v="2025-05-25"/>
    <x v="8"/>
    <s v="Q2"/>
    <x v="0"/>
    <x v="1"/>
    <s v="Customer 18"/>
    <x v="5"/>
    <x v="1"/>
    <n v="8"/>
    <n v="864.66"/>
    <n v="0"/>
    <n v="6917.28"/>
    <n v="5308.8"/>
    <n v="1608.48"/>
    <n v="0.23253070571091528"/>
  </r>
  <r>
    <s v="ORD0615"/>
    <s v="2025-05-08"/>
    <x v="8"/>
    <s v="Q2"/>
    <x v="3"/>
    <x v="1"/>
    <s v="Customer 1"/>
    <x v="8"/>
    <x v="3"/>
    <n v="1"/>
    <n v="1552.4"/>
    <n v="0"/>
    <n v="1552.4"/>
    <n v="997.69"/>
    <n v="554.71"/>
    <n v="0.35732414326204587"/>
  </r>
  <r>
    <s v="ORD0639"/>
    <s v="2025-05-18"/>
    <x v="8"/>
    <s v="Q2"/>
    <x v="0"/>
    <x v="4"/>
    <s v="Customer 42"/>
    <x v="1"/>
    <x v="1"/>
    <n v="5"/>
    <n v="25974.97"/>
    <n v="0"/>
    <n v="129874.85"/>
    <n v="82252.27"/>
    <n v="47622.58"/>
    <n v="0.36668053899581021"/>
  </r>
  <r>
    <s v="ORD0817"/>
    <s v="2025-05-07"/>
    <x v="8"/>
    <s v="Q2"/>
    <x v="3"/>
    <x v="0"/>
    <s v="Customer 18"/>
    <x v="9"/>
    <x v="3"/>
    <n v="5"/>
    <n v="465.21"/>
    <n v="0"/>
    <n v="2326.0500000000002"/>
    <n v="1624.06"/>
    <n v="701.99"/>
    <n v="0.30179488833000151"/>
  </r>
  <r>
    <s v="ORD0932"/>
    <s v="2025-05-29"/>
    <x v="8"/>
    <s v="Q2"/>
    <x v="0"/>
    <x v="5"/>
    <s v="Customer 50"/>
    <x v="1"/>
    <x v="1"/>
    <n v="6"/>
    <n v="25747.42"/>
    <n v="0"/>
    <n v="154484.51999999999"/>
    <n v="88412.09"/>
    <n v="66072.429999999993"/>
    <n v="0.42769612126833162"/>
  </r>
  <r>
    <s v="ORD0968"/>
    <s v="2025-05-18"/>
    <x v="8"/>
    <s v="Q2"/>
    <x v="2"/>
    <x v="2"/>
    <s v="Customer 15"/>
    <x v="7"/>
    <x v="2"/>
    <n v="1"/>
    <n v="8000.27"/>
    <n v="0"/>
    <n v="8000.27"/>
    <n v="5903.3"/>
    <n v="2096.9699999999998"/>
    <n v="0.2621124037063749"/>
  </r>
  <r>
    <s v="ORD0128"/>
    <s v="2025-11-13"/>
    <x v="9"/>
    <s v="Q4"/>
    <x v="1"/>
    <x v="1"/>
    <s v="Customer 47"/>
    <x v="9"/>
    <x v="3"/>
    <n v="5"/>
    <n v="454.53"/>
    <n v="0"/>
    <n v="2272.65"/>
    <n v="1680.94"/>
    <n v="591.71"/>
    <n v="0.26036125228257762"/>
  </r>
  <r>
    <s v="ORD0140"/>
    <s v="2025-11-24"/>
    <x v="9"/>
    <s v="Q4"/>
    <x v="1"/>
    <x v="0"/>
    <s v="Customer 26"/>
    <x v="5"/>
    <x v="1"/>
    <n v="7"/>
    <n v="836.14"/>
    <n v="0"/>
    <n v="5852.98"/>
    <n v="3682.81"/>
    <n v="2170.17"/>
    <n v="0.37078035462277342"/>
  </r>
  <r>
    <s v="ORD0235"/>
    <s v="2025-11-18"/>
    <x v="9"/>
    <s v="Q4"/>
    <x v="1"/>
    <x v="4"/>
    <s v="Customer 2"/>
    <x v="3"/>
    <x v="0"/>
    <n v="1"/>
    <n v="118.88"/>
    <n v="0"/>
    <n v="118.88"/>
    <n v="89.3"/>
    <n v="29.58"/>
    <n v="0.24882234185733512"/>
  </r>
  <r>
    <s v="ORD0241"/>
    <s v="2025-11-22"/>
    <x v="9"/>
    <s v="Q4"/>
    <x v="2"/>
    <x v="0"/>
    <s v="Customer 50"/>
    <x v="5"/>
    <x v="1"/>
    <n v="1"/>
    <n v="893.57"/>
    <n v="0"/>
    <n v="893.57"/>
    <n v="646.62"/>
    <n v="246.95"/>
    <n v="0.27636335150016222"/>
  </r>
  <r>
    <s v="ORD0271"/>
    <s v="2025-11-20"/>
    <x v="9"/>
    <s v="Q4"/>
    <x v="1"/>
    <x v="0"/>
    <s v="Customer 43"/>
    <x v="1"/>
    <x v="1"/>
    <n v="3"/>
    <n v="22994.43"/>
    <n v="0"/>
    <n v="68983.289999999994"/>
    <n v="47991.34"/>
    <n v="20991.95"/>
    <n v="0.30430485411756969"/>
  </r>
  <r>
    <s v="ORD0285"/>
    <s v="2025-11-26"/>
    <x v="9"/>
    <s v="Q4"/>
    <x v="1"/>
    <x v="5"/>
    <s v="Customer 46"/>
    <x v="0"/>
    <x v="0"/>
    <n v="8"/>
    <n v="32.020000000000003"/>
    <n v="0"/>
    <n v="256.16000000000003"/>
    <n v="196.33"/>
    <n v="59.83"/>
    <n v="0.23356495940037475"/>
  </r>
  <r>
    <s v="ORD0429"/>
    <s v="2025-11-01"/>
    <x v="9"/>
    <s v="Q4"/>
    <x v="3"/>
    <x v="3"/>
    <s v="Customer 8"/>
    <x v="9"/>
    <x v="3"/>
    <n v="2"/>
    <n v="460.69"/>
    <n v="0"/>
    <n v="921.38"/>
    <n v="707.48"/>
    <n v="213.9"/>
    <n v="0.23215177234148779"/>
  </r>
  <r>
    <s v="ORD0554"/>
    <s v="2025-11-27"/>
    <x v="9"/>
    <s v="Q4"/>
    <x v="2"/>
    <x v="1"/>
    <s v="Customer 4"/>
    <x v="5"/>
    <x v="1"/>
    <n v="6"/>
    <n v="840.56"/>
    <n v="0"/>
    <n v="5043.3599999999997"/>
    <n v="4075.87"/>
    <n v="967.49"/>
    <n v="0.19183441197931539"/>
  </r>
  <r>
    <s v="ORD0860"/>
    <s v="2025-11-12"/>
    <x v="9"/>
    <s v="Q4"/>
    <x v="0"/>
    <x v="1"/>
    <s v="Customer 16"/>
    <x v="9"/>
    <x v="3"/>
    <n v="3"/>
    <n v="544.74"/>
    <n v="0"/>
    <n v="1634.22"/>
    <n v="1283.21"/>
    <n v="351.01"/>
    <n v="0.21478748271346573"/>
  </r>
  <r>
    <s v="ORD0963"/>
    <s v="2025-11-25"/>
    <x v="9"/>
    <s v="Q4"/>
    <x v="1"/>
    <x v="3"/>
    <s v="Customer 27"/>
    <x v="1"/>
    <x v="1"/>
    <n v="1"/>
    <n v="22546.87"/>
    <n v="0"/>
    <n v="22546.87"/>
    <n v="17906.18"/>
    <n v="4640.6899999999996"/>
    <n v="0.20582413434769437"/>
  </r>
  <r>
    <s v="ORD0028"/>
    <s v="2025-10-21"/>
    <x v="10"/>
    <s v="Q4"/>
    <x v="1"/>
    <x v="1"/>
    <s v="Customer 34"/>
    <x v="6"/>
    <x v="1"/>
    <n v="4"/>
    <n v="65446.02"/>
    <n v="0"/>
    <n v="261784.08"/>
    <n v="211281.24"/>
    <n v="50502.84"/>
    <n v="0.1929179192256458"/>
  </r>
  <r>
    <s v="ORD0160"/>
    <s v="2025-10-31"/>
    <x v="10"/>
    <s v="Q4"/>
    <x v="1"/>
    <x v="3"/>
    <s v="Customer 6"/>
    <x v="3"/>
    <x v="0"/>
    <n v="2"/>
    <n v="126.14"/>
    <n v="0"/>
    <n v="252.28"/>
    <n v="154.63999999999999"/>
    <n v="97.64"/>
    <n v="0.38703028381163784"/>
  </r>
  <r>
    <s v="ORD0176"/>
    <s v="2025-10-16"/>
    <x v="10"/>
    <s v="Q4"/>
    <x v="1"/>
    <x v="0"/>
    <s v="Customer 20"/>
    <x v="8"/>
    <x v="3"/>
    <n v="6"/>
    <n v="1611.08"/>
    <n v="0"/>
    <n v="9666.48"/>
    <n v="6168.68"/>
    <n v="3497.8"/>
    <n v="0.36184836672708165"/>
  </r>
  <r>
    <s v="ORD0203"/>
    <s v="2025-10-13"/>
    <x v="10"/>
    <s v="Q4"/>
    <x v="2"/>
    <x v="2"/>
    <s v="Customer 50"/>
    <x v="9"/>
    <x v="3"/>
    <n v="8"/>
    <n v="504.68"/>
    <n v="0"/>
    <n v="4037.44"/>
    <n v="3035.17"/>
    <n v="1002.27"/>
    <n v="0.24824393675200127"/>
  </r>
  <r>
    <s v="ORD0280"/>
    <s v="2025-10-10"/>
    <x v="10"/>
    <s v="Q4"/>
    <x v="2"/>
    <x v="0"/>
    <s v="Customer 49"/>
    <x v="4"/>
    <x v="1"/>
    <n v="3"/>
    <n v="2277.81"/>
    <n v="0"/>
    <n v="6833.43"/>
    <n v="5687.42"/>
    <n v="1146.01"/>
    <n v="0.1677064080556909"/>
  </r>
  <r>
    <s v="ORD0342"/>
    <s v="2025-10-30"/>
    <x v="10"/>
    <s v="Q4"/>
    <x v="1"/>
    <x v="0"/>
    <s v="Customer 28"/>
    <x v="7"/>
    <x v="2"/>
    <n v="6"/>
    <n v="7660.22"/>
    <n v="0"/>
    <n v="45961.32"/>
    <n v="33745.94"/>
    <n v="12215.38"/>
    <n v="0.26577522142532023"/>
  </r>
  <r>
    <s v="ORD0471"/>
    <s v="2025-10-14"/>
    <x v="10"/>
    <s v="Q4"/>
    <x v="0"/>
    <x v="5"/>
    <s v="Customer 44"/>
    <x v="8"/>
    <x v="3"/>
    <n v="1"/>
    <n v="1649.43"/>
    <n v="0"/>
    <n v="1649.43"/>
    <n v="1082.72"/>
    <n v="566.71"/>
    <n v="0.34357929709051005"/>
  </r>
  <r>
    <s v="ORD0472"/>
    <s v="2025-10-31"/>
    <x v="10"/>
    <s v="Q4"/>
    <x v="2"/>
    <x v="2"/>
    <s v="Customer 17"/>
    <x v="2"/>
    <x v="2"/>
    <n v="7"/>
    <n v="4760.34"/>
    <n v="0"/>
    <n v="33322.379999999997"/>
    <n v="18846.59"/>
    <n v="14475.79"/>
    <n v="0.43441644924522205"/>
  </r>
  <r>
    <s v="ORD0485"/>
    <s v="2025-10-09"/>
    <x v="10"/>
    <s v="Q4"/>
    <x v="1"/>
    <x v="3"/>
    <s v="Customer 46"/>
    <x v="8"/>
    <x v="3"/>
    <n v="6"/>
    <n v="1520.1"/>
    <n v="0"/>
    <n v="9120.6"/>
    <n v="5928.27"/>
    <n v="3192.33"/>
    <n v="0.35001315702914282"/>
  </r>
  <r>
    <s v="ORD0522"/>
    <s v="2025-10-13"/>
    <x v="10"/>
    <s v="Q4"/>
    <x v="0"/>
    <x v="4"/>
    <s v="Customer 4"/>
    <x v="2"/>
    <x v="2"/>
    <n v="7"/>
    <n v="4305.2"/>
    <n v="0"/>
    <n v="30136.400000000001"/>
    <n v="20031.23"/>
    <n v="10105.17"/>
    <n v="0.3353144370263203"/>
  </r>
  <r>
    <s v="ORD0557"/>
    <s v="2025-10-28"/>
    <x v="10"/>
    <s v="Q4"/>
    <x v="2"/>
    <x v="4"/>
    <s v="Customer 14"/>
    <x v="0"/>
    <x v="0"/>
    <n v="2"/>
    <n v="27.78"/>
    <n v="0"/>
    <n v="55.56"/>
    <n v="39.65"/>
    <n v="15.91"/>
    <n v="0.2863570914326854"/>
  </r>
  <r>
    <s v="ORD0589"/>
    <s v="2025-10-30"/>
    <x v="10"/>
    <s v="Q4"/>
    <x v="0"/>
    <x v="5"/>
    <s v="Customer 19"/>
    <x v="9"/>
    <x v="3"/>
    <n v="3"/>
    <n v="489.16"/>
    <n v="0"/>
    <n v="1467.48"/>
    <n v="908.49"/>
    <n v="558.99"/>
    <n v="0.3809183089377709"/>
  </r>
  <r>
    <s v="ORD0635"/>
    <s v="2025-10-03"/>
    <x v="10"/>
    <s v="Q4"/>
    <x v="2"/>
    <x v="5"/>
    <s v="Customer 12"/>
    <x v="6"/>
    <x v="1"/>
    <n v="5"/>
    <n v="54712.36"/>
    <n v="0"/>
    <n v="273561.8"/>
    <n v="153641.37"/>
    <n v="119920.43"/>
    <n v="0.43836686993578783"/>
  </r>
  <r>
    <s v="ORD0649"/>
    <s v="2025-10-27"/>
    <x v="10"/>
    <s v="Q4"/>
    <x v="3"/>
    <x v="3"/>
    <s v="Customer 6"/>
    <x v="2"/>
    <x v="2"/>
    <n v="4"/>
    <n v="4143.8500000000004"/>
    <n v="0"/>
    <n v="16575.400000000001"/>
    <n v="11737.59"/>
    <n v="4837.8100000000004"/>
    <n v="0.29186686294146746"/>
  </r>
  <r>
    <s v="ORD0699"/>
    <s v="2025-10-09"/>
    <x v="10"/>
    <s v="Q4"/>
    <x v="1"/>
    <x v="3"/>
    <s v="Customer 34"/>
    <x v="4"/>
    <x v="1"/>
    <n v="3"/>
    <n v="2686.72"/>
    <n v="0"/>
    <n v="8060.16"/>
    <n v="6657.96"/>
    <n v="1402.2"/>
    <n v="0.17396676989042403"/>
  </r>
  <r>
    <s v="ORD0743"/>
    <s v="2025-10-20"/>
    <x v="10"/>
    <s v="Q4"/>
    <x v="0"/>
    <x v="2"/>
    <s v="Customer 26"/>
    <x v="6"/>
    <x v="1"/>
    <n v="6"/>
    <n v="58208.94"/>
    <n v="0"/>
    <n v="349253.64"/>
    <n v="204467.84"/>
    <n v="144785.79999999999"/>
    <n v="0.41455774090142622"/>
  </r>
  <r>
    <s v="ORD0865"/>
    <s v="2025-10-24"/>
    <x v="10"/>
    <s v="Q4"/>
    <x v="0"/>
    <x v="3"/>
    <s v="Customer 48"/>
    <x v="5"/>
    <x v="1"/>
    <n v="3"/>
    <n v="969.86"/>
    <n v="0"/>
    <n v="2909.58"/>
    <n v="1619.83"/>
    <n v="1289.75"/>
    <n v="0.44327703654823036"/>
  </r>
  <r>
    <s v="ORD0867"/>
    <s v="2025-10-12"/>
    <x v="10"/>
    <s v="Q4"/>
    <x v="3"/>
    <x v="4"/>
    <s v="Customer 17"/>
    <x v="3"/>
    <x v="0"/>
    <n v="2"/>
    <n v="113.58"/>
    <n v="0"/>
    <n v="227.16"/>
    <n v="181.37"/>
    <n v="45.79"/>
    <n v="0.20157598168691671"/>
  </r>
  <r>
    <s v="ORD0898"/>
    <s v="2025-10-07"/>
    <x v="10"/>
    <s v="Q4"/>
    <x v="3"/>
    <x v="1"/>
    <s v="Customer 31"/>
    <x v="5"/>
    <x v="1"/>
    <n v="1"/>
    <n v="885.2"/>
    <n v="0"/>
    <n v="885.2"/>
    <n v="586.04999999999995"/>
    <n v="299.14999999999998"/>
    <n v="0.33794622684139175"/>
  </r>
  <r>
    <s v="ORD0927"/>
    <s v="2025-10-29"/>
    <x v="10"/>
    <s v="Q4"/>
    <x v="1"/>
    <x v="0"/>
    <s v="Customer 38"/>
    <x v="5"/>
    <x v="1"/>
    <n v="3"/>
    <n v="935.98"/>
    <n v="0"/>
    <n v="2807.94"/>
    <n v="1968.14"/>
    <n v="839.8"/>
    <n v="0.29908046468229377"/>
  </r>
  <r>
    <s v="ORD0150"/>
    <s v="2025-09-22"/>
    <x v="11"/>
    <s v="Q3"/>
    <x v="1"/>
    <x v="1"/>
    <s v="Customer 6"/>
    <x v="1"/>
    <x v="1"/>
    <n v="1"/>
    <n v="22572.17"/>
    <n v="0"/>
    <n v="22572.17"/>
    <n v="16044.65"/>
    <n v="6527.52"/>
    <n v="0.28918442489135965"/>
  </r>
  <r>
    <s v="ORD0167"/>
    <s v="2025-09-28"/>
    <x v="11"/>
    <s v="Q3"/>
    <x v="0"/>
    <x v="1"/>
    <s v="Customer 8"/>
    <x v="8"/>
    <x v="3"/>
    <n v="8"/>
    <n v="1584.29"/>
    <n v="0"/>
    <n v="12674.32"/>
    <n v="9640.7000000000007"/>
    <n v="3033.62"/>
    <n v="0.23935169697467004"/>
  </r>
  <r>
    <s v="ORD0177"/>
    <s v="2025-09-21"/>
    <x v="11"/>
    <s v="Q3"/>
    <x v="1"/>
    <x v="5"/>
    <s v="Customer 22"/>
    <x v="1"/>
    <x v="1"/>
    <n v="2"/>
    <n v="26112"/>
    <n v="0"/>
    <n v="52224"/>
    <n v="42990.5"/>
    <n v="9233.5"/>
    <n v="0.17680568321078433"/>
  </r>
  <r>
    <s v="ORD0239"/>
    <s v="2025-09-08"/>
    <x v="11"/>
    <s v="Q3"/>
    <x v="2"/>
    <x v="1"/>
    <s v="Customer 32"/>
    <x v="8"/>
    <x v="3"/>
    <n v="1"/>
    <n v="1465.12"/>
    <n v="0"/>
    <n v="1465.12"/>
    <n v="1192.5899999999999"/>
    <n v="272.52999999999997"/>
    <n v="0.18601206727094027"/>
  </r>
  <r>
    <s v="ORD0251"/>
    <s v="2025-09-13"/>
    <x v="11"/>
    <s v="Q3"/>
    <x v="3"/>
    <x v="1"/>
    <s v="Customer 23"/>
    <x v="9"/>
    <x v="3"/>
    <n v="2"/>
    <n v="540.29"/>
    <n v="0"/>
    <n v="1080.58"/>
    <n v="723.85"/>
    <n v="356.73"/>
    <n v="0.33012826445057286"/>
  </r>
  <r>
    <s v="ORD0268"/>
    <s v="2025-09-27"/>
    <x v="11"/>
    <s v="Q3"/>
    <x v="3"/>
    <x v="0"/>
    <s v="Customer 10"/>
    <x v="2"/>
    <x v="2"/>
    <n v="2"/>
    <n v="4073.52"/>
    <n v="0"/>
    <n v="8147.04"/>
    <n v="5367.78"/>
    <n v="2779.26"/>
    <n v="0.34113739468567728"/>
  </r>
  <r>
    <s v="ORD0306"/>
    <s v="2025-09-16"/>
    <x v="11"/>
    <s v="Q3"/>
    <x v="3"/>
    <x v="4"/>
    <s v="Customer 42"/>
    <x v="5"/>
    <x v="1"/>
    <n v="7"/>
    <n v="969.64"/>
    <n v="0"/>
    <n v="6787.48"/>
    <n v="4197.26"/>
    <n v="2590.2199999999998"/>
    <n v="0.38161733073246623"/>
  </r>
  <r>
    <s v="ORD0480"/>
    <s v="2025-09-07"/>
    <x v="11"/>
    <s v="Q3"/>
    <x v="0"/>
    <x v="4"/>
    <s v="Customer 5"/>
    <x v="4"/>
    <x v="1"/>
    <n v="8"/>
    <n v="2718.49"/>
    <n v="0"/>
    <n v="21747.919999999998"/>
    <n v="17350.97"/>
    <n v="4396.95"/>
    <n v="0.20217795540906902"/>
  </r>
  <r>
    <s v="ORD0520"/>
    <s v="2025-09-29"/>
    <x v="11"/>
    <s v="Q3"/>
    <x v="1"/>
    <x v="3"/>
    <s v="Customer 40"/>
    <x v="0"/>
    <x v="0"/>
    <n v="5"/>
    <n v="31.88"/>
    <n v="0"/>
    <n v="159.4"/>
    <n v="134.09"/>
    <n v="25.31"/>
    <n v="0.15878293601003762"/>
  </r>
  <r>
    <s v="ORD0535"/>
    <s v="2025-09-11"/>
    <x v="11"/>
    <s v="Q3"/>
    <x v="0"/>
    <x v="2"/>
    <s v="Customer 22"/>
    <x v="1"/>
    <x v="1"/>
    <n v="2"/>
    <n v="25674.7"/>
    <n v="0"/>
    <n v="51349.4"/>
    <n v="35261.910000000003"/>
    <n v="16087.49"/>
    <n v="0.31329460519499741"/>
  </r>
  <r>
    <s v="ORD0753"/>
    <s v="2025-09-18"/>
    <x v="11"/>
    <s v="Q3"/>
    <x v="1"/>
    <x v="4"/>
    <s v="Customer 24"/>
    <x v="9"/>
    <x v="3"/>
    <n v="3"/>
    <n v="468.67"/>
    <n v="0"/>
    <n v="1406.01"/>
    <n v="1120.49"/>
    <n v="285.52"/>
    <n v="0.20307110191250416"/>
  </r>
  <r>
    <s v="ORD0778"/>
    <s v="2025-09-26"/>
    <x v="11"/>
    <s v="Q3"/>
    <x v="1"/>
    <x v="3"/>
    <s v="Customer 18"/>
    <x v="6"/>
    <x v="1"/>
    <n v="2"/>
    <n v="56525.67"/>
    <n v="0"/>
    <n v="113051.34"/>
    <n v="77088.94"/>
    <n v="35962.400000000001"/>
    <n v="0.31810679997247271"/>
  </r>
  <r>
    <s v="ORD0790"/>
    <s v="2025-09-28"/>
    <x v="11"/>
    <s v="Q3"/>
    <x v="1"/>
    <x v="4"/>
    <s v="Customer 41"/>
    <x v="9"/>
    <x v="3"/>
    <n v="1"/>
    <n v="490.22"/>
    <n v="0"/>
    <n v="490.22"/>
    <n v="398.74"/>
    <n v="91.48"/>
    <n v="0.18661009342744073"/>
  </r>
  <r>
    <s v="ORD0819"/>
    <s v="2025-09-30"/>
    <x v="11"/>
    <s v="Q3"/>
    <x v="3"/>
    <x v="4"/>
    <s v="Customer 49"/>
    <x v="0"/>
    <x v="0"/>
    <n v="4"/>
    <n v="30.07"/>
    <n v="0"/>
    <n v="120.28"/>
    <n v="82.05"/>
    <n v="38.229999999999997"/>
    <n v="0.31784170269371465"/>
  </r>
  <r>
    <s v="ORD0833"/>
    <s v="2025-09-04"/>
    <x v="11"/>
    <s v="Q3"/>
    <x v="2"/>
    <x v="3"/>
    <s v="Customer 34"/>
    <x v="4"/>
    <x v="1"/>
    <n v="1"/>
    <n v="2474.0700000000002"/>
    <n v="0"/>
    <n v="2474.0700000000002"/>
    <n v="1811.39"/>
    <n v="662.68"/>
    <n v="0.26785014166939491"/>
  </r>
  <r>
    <s v="ORD0903"/>
    <s v="2025-09-10"/>
    <x v="11"/>
    <s v="Q3"/>
    <x v="1"/>
    <x v="3"/>
    <s v="Customer 45"/>
    <x v="6"/>
    <x v="1"/>
    <n v="5"/>
    <n v="58099.83"/>
    <n v="0"/>
    <n v="290499.15000000002"/>
    <n v="161909.38"/>
    <n v="128589.77"/>
    <n v="0.44265110586382095"/>
  </r>
  <r>
    <s v="ORD0977"/>
    <s v="2025-09-26"/>
    <x v="11"/>
    <s v="Q3"/>
    <x v="1"/>
    <x v="2"/>
    <s v="Customer 13"/>
    <x v="9"/>
    <x v="3"/>
    <n v="8"/>
    <n v="489.38"/>
    <n v="0"/>
    <n v="3915.04"/>
    <n v="3031.1"/>
    <n v="883.94"/>
    <n v="0.225780579508766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A23325E-B7A3-452D-B21B-790891792BA6}" sourceName="Month">
  <data>
    <tabular pivotCacheId="145807233">
      <items count="12">
        <i x="4" s="1"/>
        <i x="3" s="1"/>
        <i x="7" s="1"/>
        <i x="0" s="1"/>
        <i x="8" s="1"/>
        <i x="6" s="1"/>
        <i x="5" s="1"/>
        <i x="1" s="1"/>
        <i x="11" s="1"/>
        <i x="10"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8784B6-6FC0-43FC-ACEB-B268174ABD69}" sourceName="Region">
  <data>
    <tabular pivotCacheId="145807233">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2C6DB48-2536-4418-81C4-86727AEC0A58}" sourceName="Product">
  <data>
    <tabular pivotCacheId="145807233">
      <items count="10">
        <i x="8" s="1"/>
        <i x="9" s="1"/>
        <i x="2" s="1"/>
        <i x="7" s="1"/>
        <i x="4" s="1"/>
        <i x="6" s="1"/>
        <i x="5"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9AB27AB-F301-48E8-A3A9-9E223F546C9D}" sourceName="Category">
  <data>
    <tabular pivotCacheId="145807233">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DCB8DC9-C7CF-4E63-B331-44035A1345DF}" cache="Slicer_Month" caption="Month" startItem="4" style="SlicerStyleLight2" rowHeight="241300"/>
  <slicer name="Region" xr10:uid="{D70BC565-D032-4230-BEDB-604C477480BC}" cache="Slicer_Region" caption="Region" style="SlicerStyleLight2" rowHeight="241300"/>
  <slicer name="Product" xr10:uid="{48689E0E-9E62-4FF6-9894-AF94AB55FF03}" cache="Slicer_Product" caption="Product" style="SlicerStyleLight2" rowHeight="241300"/>
  <slicer name="Category" xr10:uid="{47295949-E487-4E80-8B90-1D901128DCCC}" cache="Slicer_Category" caption="Category"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C73839-67D7-4A40-99F3-5C8C456EC9F0}" name="Sales_Data" displayName="Sales_Data" ref="A1:P1001" totalsRowShown="0" dataDxfId="9" dataCellStyle="Currency">
  <autoFilter ref="A1:P1001" xr:uid="{79DDA4AC-B187-4015-8B02-3E1812690112}"/>
  <sortState xmlns:xlrd2="http://schemas.microsoft.com/office/spreadsheetml/2017/richdata2" ref="A2:O1001">
    <sortCondition descending="1" ref="L1:L1001"/>
  </sortState>
  <tableColumns count="16">
    <tableColumn id="1" xr3:uid="{BB4DFE61-ECD9-4AD2-9CF8-063DC4DD27BC}" name="Order ID"/>
    <tableColumn id="2" xr3:uid="{E8703282-831D-449C-A9C0-33C721DB5D48}" name="Order Date" dataDxfId="8"/>
    <tableColumn id="14" xr3:uid="{09F07ABD-CC6C-4EBD-BFD6-F34B219F35BD}" name="Month" dataDxfId="7"/>
    <tableColumn id="15" xr3:uid="{FE5F1B73-B4F3-42E6-828A-A50CCA2D5B4D}" name="Quarter" dataDxfId="6">
      <calculatedColumnFormula>"Q"&amp;ROUNDUP(MONTH(B2)/3,0)</calculatedColumnFormula>
    </tableColumn>
    <tableColumn id="3" xr3:uid="{10F30177-FC36-45EE-823F-3FA8D98408A3}" name="Region"/>
    <tableColumn id="4" xr3:uid="{F2DA166A-C4A9-4E5C-A1D6-F25DD2225D08}" name="Salesperson"/>
    <tableColumn id="5" xr3:uid="{96E0B3D1-1CA3-4C1D-9AD5-FA289DEB89B3}" name="Customer ID "/>
    <tableColumn id="6" xr3:uid="{763C36A5-397C-4769-8386-10C7221AFE99}" name="Product"/>
    <tableColumn id="7" xr3:uid="{B13F986A-2AAC-45AA-812E-4E0CD62540B1}" name="Category"/>
    <tableColumn id="8" xr3:uid="{167C0C8F-1C34-41A7-988E-1D8845A0E117}" name="Quantity" dataDxfId="5"/>
    <tableColumn id="9" xr3:uid="{F51B7188-883B-4991-BD3F-8AAE4591C2FA}" name="Unit Price" dataDxfId="4"/>
    <tableColumn id="10" xr3:uid="{94B87EF7-E519-4DE1-9DEA-5E9EE7D5D362}" name="Discount %"/>
    <tableColumn id="11" xr3:uid="{D57B1992-749A-485C-BB73-3508F8CFCEDA}" name="Revenue" dataDxfId="3" dataCellStyle="Currency"/>
    <tableColumn id="12" xr3:uid="{C18178F1-C421-489F-A88E-708075518103}" name="Cost" dataDxfId="2" dataCellStyle="Currency"/>
    <tableColumn id="13" xr3:uid="{070C847E-2A95-412E-AE9B-A573DF4AC80D}" name="Profit" dataDxfId="1" dataCellStyle="Currency"/>
    <tableColumn id="16" xr3:uid="{77830DAC-E87E-4BCC-A8BE-7D1C28D9CDFF}" name="Profit Margin" dataDxfId="0" dataCellStyle="Percent">
      <calculatedColumnFormula>(Sales_Data[[#This Row],[Profit]]/Sales_Data[[#This Row],[Revenue]])</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FreshMart Dashboard (Mini project)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F03D6-56F0-413B-A957-D7C5336B9269}">
  <dimension ref="A1:S72"/>
  <sheetViews>
    <sheetView tabSelected="1" zoomScale="78" zoomScaleNormal="108" workbookViewId="0">
      <selection activeCell="P58" sqref="P58"/>
    </sheetView>
  </sheetViews>
  <sheetFormatPr defaultRowHeight="14.5" x14ac:dyDescent="0.35"/>
  <cols>
    <col min="1" max="1" width="12.36328125" bestFit="1" customWidth="1"/>
    <col min="2" max="2" width="15.453125" bestFit="1" customWidth="1"/>
    <col min="3" max="3" width="15.81640625" bestFit="1" customWidth="1"/>
    <col min="8" max="8" width="8.7265625" customWidth="1"/>
  </cols>
  <sheetData>
    <row r="1" spans="1:19" ht="29" customHeight="1" x14ac:dyDescent="0.35">
      <c r="A1" s="7" t="s">
        <v>1440</v>
      </c>
      <c r="B1" s="7"/>
      <c r="C1" s="7"/>
      <c r="D1" s="7"/>
      <c r="E1" s="7"/>
      <c r="F1" s="7"/>
      <c r="G1" s="7"/>
      <c r="H1" s="7"/>
      <c r="I1" s="7"/>
      <c r="J1" s="7"/>
      <c r="K1" s="7"/>
      <c r="L1" s="7"/>
      <c r="M1" s="7"/>
      <c r="N1" s="7"/>
      <c r="O1" s="7"/>
      <c r="P1" s="7"/>
      <c r="Q1" s="7"/>
      <c r="R1" s="8"/>
      <c r="S1" s="8"/>
    </row>
    <row r="2" spans="1:19" x14ac:dyDescent="0.35">
      <c r="A2" s="9"/>
      <c r="B2" s="9"/>
      <c r="C2" s="9"/>
      <c r="D2" s="9"/>
      <c r="E2" s="9"/>
      <c r="F2" s="9"/>
      <c r="G2" s="9"/>
      <c r="H2" s="9"/>
      <c r="I2" s="9"/>
      <c r="J2" s="9"/>
      <c r="K2" s="9"/>
      <c r="L2" s="9"/>
      <c r="M2" s="9"/>
      <c r="N2" s="9"/>
      <c r="O2" s="9"/>
      <c r="P2" s="9"/>
      <c r="Q2" s="9"/>
      <c r="R2" s="9"/>
      <c r="S2" s="9"/>
    </row>
    <row r="3" spans="1:19" x14ac:dyDescent="0.35">
      <c r="A3" s="9"/>
      <c r="B3" s="9"/>
      <c r="C3" s="9"/>
      <c r="D3" s="9"/>
      <c r="E3" s="9"/>
      <c r="F3" s="9"/>
      <c r="G3" s="9"/>
      <c r="H3" s="9"/>
      <c r="I3" s="9"/>
      <c r="J3" s="9"/>
      <c r="K3" s="9"/>
      <c r="L3" s="9"/>
      <c r="M3" s="9"/>
      <c r="N3" s="9"/>
      <c r="O3" s="9"/>
      <c r="P3" s="9"/>
      <c r="Q3" s="9"/>
      <c r="R3" s="9"/>
      <c r="S3" s="9"/>
    </row>
    <row r="4" spans="1:19" x14ac:dyDescent="0.35">
      <c r="A4" s="9"/>
      <c r="B4" s="9"/>
      <c r="C4" s="9"/>
      <c r="D4" s="9"/>
      <c r="E4" s="9"/>
      <c r="F4" s="9"/>
      <c r="G4" s="9"/>
      <c r="H4" s="9"/>
      <c r="I4" s="9"/>
      <c r="J4" s="9"/>
      <c r="K4" s="9"/>
      <c r="L4" s="9"/>
      <c r="M4" s="9"/>
      <c r="N4" s="9"/>
      <c r="O4" s="9"/>
      <c r="P4" s="9"/>
      <c r="Q4" s="9"/>
      <c r="R4" s="9"/>
      <c r="S4" s="9"/>
    </row>
    <row r="5" spans="1:19" x14ac:dyDescent="0.35">
      <c r="A5" s="9"/>
      <c r="B5" s="9"/>
      <c r="C5" s="9"/>
      <c r="D5" s="9"/>
      <c r="E5" s="9"/>
      <c r="F5" s="9"/>
      <c r="G5" s="9"/>
      <c r="H5" s="9"/>
      <c r="I5" s="9"/>
      <c r="J5" s="9"/>
      <c r="K5" s="9"/>
      <c r="L5" s="9"/>
      <c r="M5" s="9"/>
      <c r="N5" s="9"/>
      <c r="O5" s="9"/>
      <c r="P5" s="9"/>
      <c r="Q5" s="9"/>
      <c r="R5" s="9"/>
      <c r="S5" s="9"/>
    </row>
    <row r="6" spans="1:19" x14ac:dyDescent="0.35">
      <c r="A6" s="9"/>
      <c r="B6" s="9"/>
      <c r="C6" s="9"/>
      <c r="D6" s="9"/>
      <c r="E6" s="9"/>
      <c r="F6" s="9"/>
      <c r="G6" s="9"/>
      <c r="H6" s="9"/>
      <c r="I6" s="9"/>
      <c r="J6" s="9"/>
      <c r="K6" s="9"/>
      <c r="L6" s="9"/>
      <c r="M6" s="9"/>
      <c r="N6" s="9"/>
      <c r="O6" s="9"/>
      <c r="P6" s="9"/>
      <c r="Q6" s="9"/>
      <c r="R6" s="9"/>
      <c r="S6" s="9"/>
    </row>
    <row r="7" spans="1:19" x14ac:dyDescent="0.35">
      <c r="A7" s="9"/>
      <c r="B7" s="9"/>
      <c r="C7" s="9"/>
      <c r="D7" s="9"/>
      <c r="E7" s="9"/>
      <c r="F7" s="9"/>
      <c r="G7" s="9"/>
      <c r="H7" s="9"/>
      <c r="I7" s="9"/>
      <c r="J7" s="9"/>
      <c r="K7" s="9"/>
      <c r="L7" s="9"/>
      <c r="M7" s="9"/>
      <c r="N7" s="9"/>
      <c r="O7" s="9"/>
      <c r="P7" s="9"/>
      <c r="Q7" s="9"/>
      <c r="R7" s="9"/>
      <c r="S7" s="9"/>
    </row>
    <row r="8" spans="1:19" x14ac:dyDescent="0.35">
      <c r="A8" s="9"/>
      <c r="B8" s="9"/>
      <c r="C8" s="9"/>
      <c r="D8" s="9"/>
      <c r="E8" s="9"/>
      <c r="F8" s="9"/>
      <c r="G8" s="9"/>
      <c r="H8" s="9"/>
      <c r="I8" s="9"/>
      <c r="J8" s="9"/>
      <c r="K8" s="9"/>
      <c r="L8" s="9"/>
      <c r="M8" s="9"/>
      <c r="N8" s="9"/>
      <c r="O8" s="9"/>
      <c r="P8" s="9"/>
      <c r="Q8" s="9"/>
      <c r="R8" s="9"/>
      <c r="S8" s="9"/>
    </row>
    <row r="9" spans="1:19" x14ac:dyDescent="0.35">
      <c r="A9" s="9"/>
      <c r="B9" s="9"/>
      <c r="C9" s="9"/>
      <c r="D9" s="9"/>
      <c r="E9" s="9"/>
      <c r="F9" s="9"/>
      <c r="G9" s="9"/>
      <c r="H9" s="9"/>
      <c r="I9" s="9"/>
      <c r="J9" s="9"/>
      <c r="K9" s="9"/>
      <c r="L9" s="9"/>
      <c r="M9" s="9"/>
      <c r="N9" s="9"/>
      <c r="O9" s="9"/>
      <c r="P9" s="9"/>
      <c r="Q9" s="9"/>
      <c r="R9" s="9"/>
      <c r="S9" s="9"/>
    </row>
    <row r="10" spans="1:19" x14ac:dyDescent="0.35">
      <c r="A10" s="9"/>
      <c r="B10" s="9"/>
      <c r="C10" s="9"/>
      <c r="D10" s="9"/>
      <c r="E10" s="9"/>
      <c r="F10" s="9"/>
      <c r="G10" s="9"/>
      <c r="H10" s="9"/>
      <c r="I10" s="9"/>
      <c r="J10" s="9"/>
      <c r="K10" s="9"/>
      <c r="L10" s="9"/>
      <c r="M10" s="9"/>
      <c r="N10" s="9"/>
      <c r="O10" s="9"/>
      <c r="P10" s="9"/>
      <c r="Q10" s="9"/>
      <c r="R10" s="9"/>
      <c r="S10" s="9"/>
    </row>
    <row r="11" spans="1:19" x14ac:dyDescent="0.35">
      <c r="A11" s="9"/>
      <c r="B11" s="9"/>
      <c r="C11" s="9"/>
      <c r="D11" s="9"/>
      <c r="E11" s="9"/>
      <c r="F11" s="9"/>
      <c r="G11" s="9"/>
      <c r="H11" s="9"/>
      <c r="I11" s="9"/>
      <c r="J11" s="10"/>
      <c r="K11" s="9"/>
      <c r="L11" s="9"/>
      <c r="M11" s="9"/>
      <c r="N11" s="9"/>
      <c r="O11" s="9"/>
      <c r="P11" s="9"/>
      <c r="Q11" s="9"/>
      <c r="R11" s="9"/>
      <c r="S11" s="9"/>
    </row>
    <row r="12" spans="1:19" x14ac:dyDescent="0.35">
      <c r="A12" s="9"/>
      <c r="B12" s="9"/>
      <c r="C12" s="9"/>
      <c r="D12" s="9"/>
      <c r="E12" s="9"/>
      <c r="F12" s="9"/>
      <c r="G12" s="9"/>
      <c r="H12" s="9"/>
      <c r="I12" s="9"/>
      <c r="J12" s="9"/>
      <c r="K12" s="9"/>
      <c r="L12" s="9"/>
      <c r="M12" s="9"/>
      <c r="N12" s="9"/>
      <c r="O12" s="9"/>
      <c r="P12" s="9"/>
      <c r="Q12" s="9"/>
      <c r="R12" s="9"/>
      <c r="S12" s="9"/>
    </row>
    <row r="13" spans="1:19" x14ac:dyDescent="0.35">
      <c r="A13" s="9"/>
      <c r="B13" s="9"/>
      <c r="C13" s="9"/>
      <c r="D13" s="9"/>
      <c r="E13" s="9"/>
      <c r="F13" s="9"/>
      <c r="G13" s="9"/>
      <c r="H13" s="9"/>
      <c r="I13" s="9"/>
      <c r="J13" s="9"/>
      <c r="K13" s="9"/>
      <c r="L13" s="9"/>
      <c r="M13" s="9"/>
      <c r="N13" s="9"/>
      <c r="O13" s="9"/>
      <c r="P13" s="9"/>
      <c r="Q13" s="9"/>
      <c r="R13" s="9"/>
      <c r="S13" s="9"/>
    </row>
    <row r="14" spans="1:19" x14ac:dyDescent="0.35">
      <c r="A14" s="9"/>
      <c r="B14" s="9"/>
      <c r="C14" s="9"/>
      <c r="D14" s="9"/>
      <c r="E14" s="9"/>
      <c r="F14" s="9"/>
      <c r="G14" s="9"/>
      <c r="H14" s="9"/>
      <c r="I14" s="9"/>
      <c r="J14" s="9"/>
      <c r="K14" s="9"/>
      <c r="L14" s="9"/>
      <c r="M14" s="9"/>
      <c r="N14" s="9"/>
      <c r="O14" s="9"/>
      <c r="P14" s="9"/>
      <c r="Q14" s="9"/>
      <c r="R14" s="9"/>
      <c r="S14" s="9"/>
    </row>
    <row r="15" spans="1:19" x14ac:dyDescent="0.35">
      <c r="A15" s="9"/>
      <c r="B15" s="9"/>
      <c r="C15" s="9"/>
      <c r="D15" s="9"/>
      <c r="E15" s="9"/>
      <c r="F15" s="9"/>
      <c r="G15" s="9"/>
      <c r="H15" s="9"/>
      <c r="I15" s="9"/>
      <c r="J15" s="9"/>
      <c r="K15" s="9"/>
      <c r="L15" s="9"/>
      <c r="M15" s="9"/>
      <c r="N15" s="9"/>
      <c r="O15" s="9"/>
      <c r="P15" s="9"/>
      <c r="Q15" s="9"/>
      <c r="R15" s="9"/>
      <c r="S15" s="9"/>
    </row>
    <row r="16" spans="1:19" x14ac:dyDescent="0.35">
      <c r="A16" s="9"/>
      <c r="B16" s="9"/>
      <c r="C16" s="9"/>
      <c r="D16" s="9"/>
      <c r="E16" s="9"/>
      <c r="F16" s="9"/>
      <c r="G16" s="9"/>
      <c r="H16" s="9"/>
      <c r="I16" s="9"/>
      <c r="J16" s="9"/>
      <c r="K16" s="9"/>
      <c r="L16" s="9"/>
      <c r="M16" s="9"/>
      <c r="N16" s="9"/>
      <c r="O16" s="9"/>
      <c r="P16" s="9"/>
      <c r="Q16" s="9"/>
      <c r="R16" s="9"/>
      <c r="S16" s="9"/>
    </row>
    <row r="17" spans="1:19" x14ac:dyDescent="0.35">
      <c r="A17" s="9"/>
      <c r="B17" s="9"/>
      <c r="C17" s="9"/>
      <c r="D17" s="9"/>
      <c r="E17" s="9"/>
      <c r="F17" s="9"/>
      <c r="G17" s="9"/>
      <c r="H17" s="9"/>
      <c r="I17" s="9"/>
      <c r="J17" s="9"/>
      <c r="K17" s="9"/>
      <c r="L17" s="9"/>
      <c r="M17" s="9"/>
      <c r="N17" s="9"/>
      <c r="O17" s="9"/>
      <c r="P17" s="9"/>
      <c r="Q17" s="9"/>
      <c r="R17" s="9"/>
      <c r="S17" s="9"/>
    </row>
    <row r="18" spans="1:19" x14ac:dyDescent="0.35">
      <c r="A18" s="9"/>
      <c r="B18" s="9"/>
      <c r="C18" s="9"/>
      <c r="D18" s="9"/>
      <c r="E18" s="9"/>
      <c r="F18" s="9"/>
      <c r="G18" s="9"/>
      <c r="H18" s="9"/>
      <c r="I18" s="9"/>
      <c r="J18" s="9"/>
      <c r="K18" s="9"/>
      <c r="L18" s="9"/>
      <c r="M18" s="9"/>
      <c r="N18" s="9"/>
      <c r="O18" s="9"/>
      <c r="P18" s="9"/>
      <c r="Q18" s="9"/>
      <c r="R18" s="9"/>
      <c r="S18" s="9"/>
    </row>
    <row r="19" spans="1:19" x14ac:dyDescent="0.35">
      <c r="A19" s="9"/>
      <c r="B19" s="9"/>
      <c r="C19" s="9"/>
      <c r="D19" s="9"/>
      <c r="E19" s="9"/>
      <c r="F19" s="9"/>
      <c r="G19" s="9"/>
      <c r="H19" s="9"/>
      <c r="I19" s="9"/>
      <c r="J19" s="9"/>
      <c r="K19" s="9"/>
      <c r="L19" s="9"/>
      <c r="M19" s="9"/>
      <c r="N19" s="9"/>
      <c r="O19" s="9"/>
      <c r="P19" s="9"/>
      <c r="Q19" s="9"/>
      <c r="R19" s="9"/>
      <c r="S19" s="9"/>
    </row>
    <row r="20" spans="1:19" x14ac:dyDescent="0.35">
      <c r="A20" s="9"/>
      <c r="B20" s="9"/>
      <c r="C20" s="9"/>
      <c r="D20" s="9"/>
      <c r="E20" s="9"/>
      <c r="F20" s="9"/>
      <c r="G20" s="9"/>
      <c r="H20" s="9"/>
      <c r="I20" s="9"/>
      <c r="J20" s="9"/>
      <c r="K20" s="9"/>
      <c r="L20" s="9"/>
      <c r="M20" s="9"/>
      <c r="N20" s="9"/>
      <c r="O20" s="9"/>
      <c r="P20" s="9"/>
      <c r="Q20" s="9"/>
      <c r="R20" s="9"/>
      <c r="S20" s="9"/>
    </row>
    <row r="21" spans="1:19" x14ac:dyDescent="0.35">
      <c r="A21" s="9"/>
      <c r="B21" s="9"/>
      <c r="C21" s="9"/>
      <c r="D21" s="9"/>
      <c r="E21" s="9"/>
      <c r="F21" s="9"/>
      <c r="G21" s="9"/>
      <c r="H21" s="9"/>
      <c r="I21" s="9"/>
      <c r="J21" s="9"/>
      <c r="K21" s="9"/>
      <c r="L21" s="9"/>
      <c r="M21" s="9"/>
      <c r="N21" s="9"/>
      <c r="O21" s="9"/>
      <c r="P21" s="9"/>
      <c r="Q21" s="9"/>
      <c r="R21" s="9"/>
      <c r="S21" s="9"/>
    </row>
    <row r="22" spans="1:19" x14ac:dyDescent="0.35">
      <c r="A22" s="9"/>
      <c r="B22" s="9"/>
      <c r="C22" s="9"/>
      <c r="D22" s="9"/>
      <c r="E22" s="9"/>
      <c r="F22" s="9"/>
      <c r="G22" s="9"/>
      <c r="H22" s="9"/>
      <c r="I22" s="9"/>
      <c r="J22" s="9"/>
      <c r="K22" s="9"/>
      <c r="L22" s="9"/>
      <c r="M22" s="9"/>
      <c r="N22" s="9"/>
      <c r="O22" s="9"/>
      <c r="P22" s="9"/>
      <c r="Q22" s="9"/>
      <c r="R22" s="9"/>
      <c r="S22" s="9"/>
    </row>
    <row r="23" spans="1:19" x14ac:dyDescent="0.35">
      <c r="A23" s="9"/>
      <c r="B23" s="9"/>
      <c r="C23" s="9"/>
      <c r="D23" s="9"/>
      <c r="E23" s="9"/>
      <c r="F23" s="9"/>
      <c r="G23" s="9"/>
      <c r="H23" s="9"/>
      <c r="I23" s="9"/>
      <c r="J23" s="9"/>
      <c r="K23" s="9"/>
      <c r="L23" s="9"/>
      <c r="M23" s="9"/>
      <c r="N23" s="9"/>
      <c r="O23" s="9"/>
      <c r="P23" s="9"/>
      <c r="Q23" s="9"/>
      <c r="R23" s="9"/>
      <c r="S23" s="9"/>
    </row>
    <row r="24" spans="1:19" x14ac:dyDescent="0.35">
      <c r="A24" s="9"/>
      <c r="B24" s="9"/>
      <c r="C24" s="9"/>
      <c r="D24" s="9"/>
      <c r="E24" s="9"/>
      <c r="F24" s="9"/>
      <c r="G24" s="9"/>
      <c r="H24" s="9"/>
      <c r="I24" s="9"/>
      <c r="J24" s="9"/>
      <c r="K24" s="9"/>
      <c r="L24" s="9"/>
      <c r="M24" s="9"/>
      <c r="N24" s="9"/>
      <c r="O24" s="9"/>
      <c r="P24" s="9"/>
      <c r="Q24" s="9"/>
      <c r="R24" s="9"/>
      <c r="S24" s="9"/>
    </row>
    <row r="25" spans="1:19" x14ac:dyDescent="0.35">
      <c r="A25" s="9"/>
      <c r="B25" s="9"/>
      <c r="C25" s="9"/>
      <c r="D25" s="9"/>
      <c r="E25" s="9"/>
      <c r="F25" s="9"/>
      <c r="G25" s="9"/>
      <c r="H25" s="9"/>
      <c r="I25" s="9"/>
      <c r="J25" s="9"/>
      <c r="K25" s="9"/>
      <c r="L25" s="9"/>
      <c r="M25" s="9"/>
      <c r="N25" s="9"/>
      <c r="O25" s="9"/>
      <c r="P25" s="9"/>
      <c r="Q25" s="9"/>
      <c r="R25" s="9"/>
      <c r="S25" s="9"/>
    </row>
    <row r="26" spans="1:19" x14ac:dyDescent="0.35">
      <c r="A26" s="9"/>
      <c r="B26" s="9"/>
      <c r="C26" s="9"/>
      <c r="D26" s="9"/>
      <c r="E26" s="9"/>
      <c r="F26" s="9"/>
      <c r="G26" s="9"/>
      <c r="H26" s="9"/>
      <c r="I26" s="9"/>
      <c r="J26" s="9"/>
      <c r="K26" s="9"/>
      <c r="L26" s="9"/>
      <c r="M26" s="9"/>
      <c r="N26" s="9"/>
      <c r="O26" s="9"/>
      <c r="P26" s="9"/>
      <c r="Q26" s="9"/>
      <c r="R26" s="9"/>
      <c r="S26" s="9"/>
    </row>
    <row r="27" spans="1:19" x14ac:dyDescent="0.35">
      <c r="A27" s="9"/>
      <c r="B27" s="9"/>
      <c r="C27" s="9"/>
      <c r="D27" s="9"/>
      <c r="E27" s="9"/>
      <c r="F27" s="9"/>
      <c r="G27" s="9"/>
      <c r="H27" s="9"/>
      <c r="I27" s="9"/>
      <c r="J27" s="9"/>
      <c r="K27" s="9"/>
      <c r="L27" s="9"/>
      <c r="M27" s="9"/>
      <c r="N27" s="9"/>
      <c r="O27" s="9"/>
      <c r="P27" s="9"/>
      <c r="Q27" s="9"/>
      <c r="R27" s="9"/>
      <c r="S27" s="9"/>
    </row>
    <row r="28" spans="1:19" x14ac:dyDescent="0.35">
      <c r="A28" s="9"/>
      <c r="B28" s="9"/>
      <c r="C28" s="9"/>
      <c r="D28" s="9"/>
      <c r="E28" s="9"/>
      <c r="F28" s="9"/>
      <c r="G28" s="9"/>
      <c r="H28" s="9"/>
      <c r="I28" s="9"/>
      <c r="J28" s="9"/>
      <c r="K28" s="9"/>
      <c r="L28" s="9"/>
      <c r="M28" s="9"/>
      <c r="N28" s="9"/>
      <c r="O28" s="9"/>
      <c r="P28" s="9"/>
      <c r="Q28" s="9"/>
      <c r="R28" s="9"/>
      <c r="S28" s="9"/>
    </row>
    <row r="29" spans="1:19" x14ac:dyDescent="0.35">
      <c r="A29" s="9"/>
      <c r="B29" s="9"/>
      <c r="C29" s="9"/>
      <c r="D29" s="9"/>
      <c r="E29" s="9"/>
      <c r="F29" s="9"/>
      <c r="G29" s="9"/>
      <c r="H29" s="9"/>
      <c r="I29" s="9"/>
      <c r="J29" s="9"/>
      <c r="K29" s="9"/>
      <c r="L29" s="9"/>
      <c r="M29" s="9"/>
      <c r="N29" s="9"/>
      <c r="O29" s="9"/>
      <c r="P29" s="9"/>
      <c r="Q29" s="9"/>
      <c r="R29" s="9"/>
      <c r="S29" s="9"/>
    </row>
    <row r="30" spans="1:19" x14ac:dyDescent="0.35">
      <c r="A30" s="9"/>
      <c r="B30" s="9"/>
      <c r="C30" s="9"/>
      <c r="D30" s="9"/>
      <c r="E30" s="9"/>
      <c r="F30" s="9"/>
      <c r="G30" s="9"/>
      <c r="H30" s="9"/>
      <c r="I30" s="9"/>
      <c r="J30" s="9"/>
      <c r="K30" s="9"/>
      <c r="L30" s="9"/>
      <c r="M30" s="9"/>
      <c r="N30" s="9"/>
      <c r="O30" s="9"/>
      <c r="P30" s="9"/>
      <c r="Q30" s="9"/>
      <c r="R30" s="9"/>
      <c r="S30" s="9"/>
    </row>
    <row r="31" spans="1:19" x14ac:dyDescent="0.35">
      <c r="A31" s="9"/>
      <c r="B31" s="9"/>
      <c r="C31" s="9"/>
      <c r="D31" s="9"/>
      <c r="E31" s="9"/>
      <c r="F31" s="9"/>
      <c r="G31" s="9"/>
      <c r="H31" s="9"/>
      <c r="I31" s="9"/>
      <c r="J31" s="9"/>
      <c r="K31" s="9"/>
      <c r="L31" s="9"/>
      <c r="M31" s="9"/>
      <c r="N31" s="9"/>
      <c r="O31" s="9"/>
      <c r="P31" s="9"/>
      <c r="Q31" s="9"/>
      <c r="R31" s="9"/>
      <c r="S31" s="9"/>
    </row>
    <row r="32" spans="1:19" x14ac:dyDescent="0.35">
      <c r="A32" s="9"/>
      <c r="B32" s="9"/>
      <c r="C32" s="9"/>
      <c r="D32" s="9"/>
      <c r="E32" s="9"/>
      <c r="F32" s="9"/>
      <c r="G32" s="9"/>
      <c r="H32" s="9"/>
      <c r="I32" s="9"/>
      <c r="J32" s="9"/>
      <c r="K32" s="9"/>
      <c r="L32" s="9"/>
      <c r="M32" s="9"/>
      <c r="N32" s="9"/>
      <c r="O32" s="9"/>
      <c r="P32" s="9"/>
      <c r="Q32" s="9"/>
      <c r="R32" s="9"/>
      <c r="S32" s="9"/>
    </row>
    <row r="33" spans="1:19" x14ac:dyDescent="0.35">
      <c r="A33" s="9"/>
      <c r="B33" s="9"/>
      <c r="C33" s="9"/>
      <c r="D33" s="9"/>
      <c r="E33" s="9"/>
      <c r="F33" s="9"/>
      <c r="G33" s="9"/>
      <c r="H33" s="9"/>
      <c r="I33" s="9"/>
      <c r="J33" s="9"/>
      <c r="K33" s="9"/>
      <c r="L33" s="9"/>
      <c r="M33" s="9"/>
      <c r="N33" s="9"/>
      <c r="O33" s="9"/>
      <c r="P33" s="9"/>
      <c r="Q33" s="9"/>
      <c r="R33" s="9"/>
      <c r="S33" s="9"/>
    </row>
    <row r="34" spans="1:19" x14ac:dyDescent="0.35">
      <c r="A34" s="9"/>
      <c r="B34" s="9"/>
      <c r="C34" s="9"/>
      <c r="D34" s="9"/>
      <c r="E34" s="9"/>
      <c r="F34" s="9"/>
      <c r="G34" s="9"/>
      <c r="H34" s="9"/>
      <c r="I34" s="9"/>
      <c r="J34" s="9"/>
      <c r="K34" s="9"/>
      <c r="L34" s="9"/>
      <c r="M34" s="9"/>
      <c r="N34" s="9"/>
      <c r="O34" s="9"/>
      <c r="P34" s="9"/>
      <c r="Q34" s="9"/>
      <c r="R34" s="9"/>
      <c r="S34" s="9"/>
    </row>
    <row r="35" spans="1:19" x14ac:dyDescent="0.35">
      <c r="A35" s="9"/>
      <c r="B35" s="9"/>
      <c r="C35" s="9"/>
      <c r="D35" s="9"/>
      <c r="E35" s="9"/>
      <c r="F35" s="9"/>
      <c r="G35" s="9"/>
      <c r="H35" s="9"/>
      <c r="I35" s="9"/>
      <c r="J35" s="9"/>
      <c r="K35" s="9"/>
      <c r="L35" s="9"/>
      <c r="M35" s="9"/>
      <c r="N35" s="9"/>
      <c r="O35" s="9"/>
      <c r="P35" s="9"/>
      <c r="Q35" s="9"/>
      <c r="R35" s="9"/>
      <c r="S35" s="9"/>
    </row>
    <row r="36" spans="1:19" x14ac:dyDescent="0.35">
      <c r="A36" s="9"/>
      <c r="B36" s="9"/>
      <c r="C36" s="9"/>
      <c r="D36" s="9"/>
      <c r="E36" s="9"/>
      <c r="F36" s="9"/>
      <c r="G36" s="9"/>
      <c r="H36" s="9"/>
      <c r="I36" s="9"/>
      <c r="J36" s="9"/>
      <c r="K36" s="9"/>
      <c r="L36" s="9"/>
      <c r="M36" s="9"/>
      <c r="N36" s="9"/>
      <c r="O36" s="9"/>
      <c r="P36" s="9"/>
      <c r="Q36" s="9"/>
      <c r="R36" s="9"/>
      <c r="S36" s="9"/>
    </row>
    <row r="37" spans="1:19" x14ac:dyDescent="0.35">
      <c r="A37" s="9"/>
      <c r="B37" s="9"/>
      <c r="C37" s="9"/>
      <c r="D37" s="9"/>
      <c r="E37" s="9"/>
      <c r="F37" s="9"/>
      <c r="G37" s="9"/>
      <c r="H37" s="9"/>
      <c r="I37" s="9"/>
      <c r="J37" s="9"/>
      <c r="K37" s="9"/>
      <c r="L37" s="9"/>
      <c r="M37" s="9"/>
      <c r="N37" s="9"/>
      <c r="O37" s="9"/>
      <c r="P37" s="9"/>
      <c r="Q37" s="9"/>
      <c r="R37" s="9"/>
      <c r="S37" s="9"/>
    </row>
    <row r="38" spans="1:19" x14ac:dyDescent="0.35">
      <c r="A38" s="9"/>
      <c r="B38" s="9"/>
      <c r="C38" s="9"/>
      <c r="D38" s="9"/>
      <c r="E38" s="9"/>
      <c r="F38" s="9"/>
      <c r="G38" s="9"/>
      <c r="H38" s="9"/>
      <c r="I38" s="9"/>
      <c r="J38" s="9"/>
      <c r="K38" s="9"/>
      <c r="L38" s="9"/>
      <c r="M38" s="9"/>
      <c r="N38" s="9"/>
      <c r="O38" s="9"/>
      <c r="P38" s="9"/>
      <c r="Q38" s="9"/>
      <c r="R38" s="9"/>
      <c r="S38" s="9"/>
    </row>
    <row r="40" spans="1:19" ht="14.5" customHeight="1" x14ac:dyDescent="0.35"/>
    <row r="41" spans="1:19" ht="14.5" customHeight="1" x14ac:dyDescent="0.35"/>
    <row r="44" spans="1:19" ht="15" customHeight="1" x14ac:dyDescent="0.35"/>
    <row r="45" spans="1:19" ht="15" customHeight="1" x14ac:dyDescent="0.35"/>
    <row r="46" spans="1:19" ht="15.5" customHeight="1" x14ac:dyDescent="0.35"/>
    <row r="47" spans="1:19" ht="20.5" customHeight="1" x14ac:dyDescent="0.35"/>
    <row r="48" spans="1:19" ht="15.5" customHeight="1" x14ac:dyDescent="0.35"/>
    <row r="49" ht="21" customHeight="1" x14ac:dyDescent="0.35"/>
    <row r="50" ht="14.5" customHeight="1" x14ac:dyDescent="0.35"/>
    <row r="51" ht="24" customHeight="1" x14ac:dyDescent="0.35"/>
    <row r="52" ht="14.5" customHeight="1" x14ac:dyDescent="0.35"/>
    <row r="53" ht="21" customHeight="1" x14ac:dyDescent="0.35"/>
    <row r="54" ht="14.5" customHeight="1" x14ac:dyDescent="0.35"/>
    <row r="55" ht="27.5" customHeight="1" x14ac:dyDescent="0.35"/>
    <row r="56" ht="14.5" customHeight="1" x14ac:dyDescent="0.35"/>
    <row r="60" ht="14.5" customHeight="1" x14ac:dyDescent="0.35"/>
    <row r="62" ht="14.5" customHeight="1" x14ac:dyDescent="0.35"/>
    <row r="63" ht="20" customHeight="1" x14ac:dyDescent="0.35"/>
    <row r="64" ht="20" customHeight="1" x14ac:dyDescent="0.35"/>
    <row r="65" ht="20" customHeight="1" x14ac:dyDescent="0.35"/>
    <row r="66" ht="20" customHeight="1" x14ac:dyDescent="0.35"/>
    <row r="67" ht="20" customHeight="1" x14ac:dyDescent="0.35"/>
    <row r="68" ht="20" customHeight="1" x14ac:dyDescent="0.35"/>
    <row r="71" ht="14.5" customHeight="1" x14ac:dyDescent="0.35"/>
    <row r="72" ht="14.5" customHeight="1" x14ac:dyDescent="0.35"/>
  </sheetData>
  <mergeCells count="1">
    <mergeCell ref="A1:Q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19F82-D3B4-4A2F-B162-8CB437866159}">
  <dimension ref="A1:L16"/>
  <sheetViews>
    <sheetView workbookViewId="0">
      <selection sqref="A1:L16"/>
    </sheetView>
  </sheetViews>
  <sheetFormatPr defaultRowHeight="14.5" x14ac:dyDescent="0.35"/>
  <sheetData>
    <row r="1" spans="1:12" x14ac:dyDescent="0.35">
      <c r="A1" s="11" t="s">
        <v>1441</v>
      </c>
      <c r="B1" s="11"/>
      <c r="C1" s="11"/>
      <c r="D1" s="11"/>
      <c r="E1" s="11"/>
      <c r="F1" s="11"/>
      <c r="G1" s="11"/>
      <c r="H1" s="11"/>
      <c r="I1" s="11"/>
      <c r="J1" s="11"/>
      <c r="K1" s="11"/>
      <c r="L1" s="11"/>
    </row>
    <row r="2" spans="1:12" x14ac:dyDescent="0.35">
      <c r="A2" s="11"/>
      <c r="B2" s="11"/>
      <c r="C2" s="11"/>
      <c r="D2" s="11"/>
      <c r="E2" s="11"/>
      <c r="F2" s="11"/>
      <c r="G2" s="11"/>
      <c r="H2" s="11"/>
      <c r="I2" s="11"/>
      <c r="J2" s="11"/>
      <c r="K2" s="11"/>
      <c r="L2" s="11"/>
    </row>
    <row r="3" spans="1:12" x14ac:dyDescent="0.35">
      <c r="A3" s="12" t="s">
        <v>1442</v>
      </c>
      <c r="B3" s="13"/>
      <c r="C3" s="13"/>
      <c r="D3" s="13"/>
      <c r="E3" s="13"/>
      <c r="F3" s="13"/>
      <c r="G3" s="13"/>
      <c r="H3" s="13"/>
      <c r="I3" s="13"/>
      <c r="J3" s="13"/>
      <c r="K3" s="13"/>
      <c r="L3" s="13"/>
    </row>
    <row r="4" spans="1:12" x14ac:dyDescent="0.35">
      <c r="A4" s="13"/>
      <c r="B4" s="13"/>
      <c r="C4" s="13"/>
      <c r="D4" s="13"/>
      <c r="E4" s="13"/>
      <c r="F4" s="13"/>
      <c r="G4" s="13"/>
      <c r="H4" s="13"/>
      <c r="I4" s="13"/>
      <c r="J4" s="13"/>
      <c r="K4" s="13"/>
      <c r="L4" s="13"/>
    </row>
    <row r="5" spans="1:12" x14ac:dyDescent="0.35">
      <c r="A5" s="12" t="s">
        <v>1443</v>
      </c>
      <c r="B5" s="13"/>
      <c r="C5" s="13"/>
      <c r="D5" s="13"/>
      <c r="E5" s="13"/>
      <c r="F5" s="13"/>
      <c r="G5" s="13"/>
      <c r="H5" s="13"/>
      <c r="I5" s="13"/>
      <c r="J5" s="13"/>
      <c r="K5" s="13"/>
      <c r="L5" s="13"/>
    </row>
    <row r="6" spans="1:12" x14ac:dyDescent="0.35">
      <c r="A6" s="13"/>
      <c r="B6" s="13"/>
      <c r="C6" s="13"/>
      <c r="D6" s="13"/>
      <c r="E6" s="13"/>
      <c r="F6" s="13"/>
      <c r="G6" s="13"/>
      <c r="H6" s="13"/>
      <c r="I6" s="13"/>
      <c r="J6" s="13"/>
      <c r="K6" s="13"/>
      <c r="L6" s="13"/>
    </row>
    <row r="7" spans="1:12" x14ac:dyDescent="0.35">
      <c r="A7" s="12" t="s">
        <v>1444</v>
      </c>
      <c r="B7" s="13"/>
      <c r="C7" s="13"/>
      <c r="D7" s="13"/>
      <c r="E7" s="13"/>
      <c r="F7" s="13"/>
      <c r="G7" s="13"/>
      <c r="H7" s="13"/>
      <c r="I7" s="13"/>
      <c r="J7" s="13"/>
      <c r="K7" s="13"/>
      <c r="L7" s="13"/>
    </row>
    <row r="8" spans="1:12" x14ac:dyDescent="0.35">
      <c r="A8" s="13"/>
      <c r="B8" s="13"/>
      <c r="C8" s="13"/>
      <c r="D8" s="13"/>
      <c r="E8" s="13"/>
      <c r="F8" s="13"/>
      <c r="G8" s="13"/>
      <c r="H8" s="13"/>
      <c r="I8" s="13"/>
      <c r="J8" s="13"/>
      <c r="K8" s="13"/>
      <c r="L8" s="13"/>
    </row>
    <row r="9" spans="1:12" x14ac:dyDescent="0.35">
      <c r="A9" s="14" t="s">
        <v>1445</v>
      </c>
      <c r="B9" s="13"/>
      <c r="C9" s="13"/>
      <c r="D9" s="13"/>
      <c r="E9" s="13"/>
      <c r="F9" s="13"/>
      <c r="G9" s="13"/>
      <c r="H9" s="13"/>
      <c r="I9" s="13"/>
      <c r="J9" s="13"/>
      <c r="K9" s="13"/>
      <c r="L9" s="13"/>
    </row>
    <row r="10" spans="1:12" x14ac:dyDescent="0.35">
      <c r="A10" s="13"/>
      <c r="B10" s="13"/>
      <c r="C10" s="13"/>
      <c r="D10" s="13"/>
      <c r="E10" s="13"/>
      <c r="F10" s="13"/>
      <c r="G10" s="13"/>
      <c r="H10" s="13"/>
      <c r="I10" s="13"/>
      <c r="J10" s="13"/>
      <c r="K10" s="13"/>
      <c r="L10" s="13"/>
    </row>
    <row r="11" spans="1:12" x14ac:dyDescent="0.35">
      <c r="A11" s="12" t="s">
        <v>1446</v>
      </c>
      <c r="B11" s="13"/>
      <c r="C11" s="13"/>
      <c r="D11" s="13"/>
      <c r="E11" s="13"/>
      <c r="F11" s="13"/>
      <c r="G11" s="13"/>
      <c r="H11" s="13"/>
      <c r="I11" s="13"/>
      <c r="J11" s="13"/>
      <c r="K11" s="13"/>
      <c r="L11" s="13"/>
    </row>
    <row r="12" spans="1:12" x14ac:dyDescent="0.35">
      <c r="A12" s="13"/>
      <c r="B12" s="13"/>
      <c r="C12" s="13"/>
      <c r="D12" s="13"/>
      <c r="E12" s="13"/>
      <c r="F12" s="13"/>
      <c r="G12" s="13"/>
      <c r="H12" s="13"/>
      <c r="I12" s="13"/>
      <c r="J12" s="13"/>
      <c r="K12" s="13"/>
      <c r="L12" s="13"/>
    </row>
    <row r="13" spans="1:12" x14ac:dyDescent="0.35">
      <c r="A13" s="14" t="s">
        <v>1447</v>
      </c>
      <c r="B13" s="13"/>
      <c r="C13" s="13"/>
      <c r="D13" s="13"/>
      <c r="E13" s="13"/>
      <c r="F13" s="13"/>
      <c r="G13" s="13"/>
      <c r="H13" s="13"/>
      <c r="I13" s="13"/>
      <c r="J13" s="13"/>
      <c r="K13" s="13"/>
      <c r="L13" s="13"/>
    </row>
    <row r="14" spans="1:12" x14ac:dyDescent="0.35">
      <c r="A14" s="13"/>
      <c r="B14" s="13"/>
      <c r="C14" s="13"/>
      <c r="D14" s="13"/>
      <c r="E14" s="13"/>
      <c r="F14" s="13"/>
      <c r="G14" s="13"/>
      <c r="H14" s="13"/>
      <c r="I14" s="13"/>
      <c r="J14" s="13"/>
      <c r="K14" s="13"/>
      <c r="L14" s="13"/>
    </row>
    <row r="15" spans="1:12" x14ac:dyDescent="0.35">
      <c r="A15" s="12" t="s">
        <v>1448</v>
      </c>
      <c r="B15" s="13"/>
      <c r="C15" s="13"/>
      <c r="D15" s="13"/>
      <c r="E15" s="13"/>
      <c r="F15" s="13"/>
      <c r="G15" s="13"/>
      <c r="H15" s="13"/>
      <c r="I15" s="13"/>
      <c r="J15" s="13"/>
      <c r="K15" s="13"/>
      <c r="L15" s="13"/>
    </row>
    <row r="16" spans="1:12" x14ac:dyDescent="0.35">
      <c r="A16" s="13"/>
      <c r="B16" s="13"/>
      <c r="C16" s="13"/>
      <c r="D16" s="13"/>
      <c r="E16" s="13"/>
      <c r="F16" s="13"/>
      <c r="G16" s="13"/>
      <c r="H16" s="13"/>
      <c r="I16" s="13"/>
      <c r="J16" s="13"/>
      <c r="K16" s="13"/>
      <c r="L16" s="13"/>
    </row>
  </sheetData>
  <mergeCells count="8">
    <mergeCell ref="A13:L14"/>
    <mergeCell ref="A15:L16"/>
    <mergeCell ref="A1:L2"/>
    <mergeCell ref="A3:L4"/>
    <mergeCell ref="A5:L6"/>
    <mergeCell ref="A7:L8"/>
    <mergeCell ref="A9:L10"/>
    <mergeCell ref="A11:L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B9C95-B3B2-4D69-9562-11CA41B4F94B}">
  <dimension ref="A1:L8"/>
  <sheetViews>
    <sheetView workbookViewId="0">
      <selection activeCell="H21" sqref="H21"/>
    </sheetView>
  </sheetViews>
  <sheetFormatPr defaultRowHeight="14.5" x14ac:dyDescent="0.35"/>
  <sheetData>
    <row r="1" spans="1:12" x14ac:dyDescent="0.35">
      <c r="A1" s="11" t="s">
        <v>1449</v>
      </c>
      <c r="B1" s="11"/>
      <c r="C1" s="11"/>
      <c r="D1" s="11"/>
      <c r="E1" s="11"/>
      <c r="F1" s="11"/>
      <c r="G1" s="11"/>
      <c r="H1" s="11"/>
      <c r="I1" s="11"/>
      <c r="J1" s="11"/>
      <c r="K1" s="11"/>
      <c r="L1" s="11"/>
    </row>
    <row r="2" spans="1:12" x14ac:dyDescent="0.35">
      <c r="A2" s="11"/>
      <c r="B2" s="11"/>
      <c r="C2" s="11"/>
      <c r="D2" s="11"/>
      <c r="E2" s="11"/>
      <c r="F2" s="11"/>
      <c r="G2" s="11"/>
      <c r="H2" s="11"/>
      <c r="I2" s="11"/>
      <c r="J2" s="11"/>
      <c r="K2" s="11"/>
      <c r="L2" s="11"/>
    </row>
    <row r="3" spans="1:12" x14ac:dyDescent="0.35">
      <c r="A3" s="14" t="s">
        <v>1450</v>
      </c>
      <c r="B3" s="14"/>
      <c r="C3" s="14"/>
      <c r="D3" s="14"/>
      <c r="E3" s="14"/>
      <c r="F3" s="14"/>
      <c r="G3" s="14"/>
      <c r="H3" s="14"/>
      <c r="I3" s="14"/>
      <c r="J3" s="14"/>
      <c r="K3" s="14"/>
      <c r="L3" s="14"/>
    </row>
    <row r="4" spans="1:12" x14ac:dyDescent="0.35">
      <c r="A4" s="14"/>
      <c r="B4" s="14"/>
      <c r="C4" s="14"/>
      <c r="D4" s="14"/>
      <c r="E4" s="14"/>
      <c r="F4" s="14"/>
      <c r="G4" s="14"/>
      <c r="H4" s="14"/>
      <c r="I4" s="14"/>
      <c r="J4" s="14"/>
      <c r="K4" s="14"/>
      <c r="L4" s="14"/>
    </row>
    <row r="5" spans="1:12" x14ac:dyDescent="0.35">
      <c r="A5" s="14" t="s">
        <v>1451</v>
      </c>
      <c r="B5" s="14"/>
      <c r="C5" s="14"/>
      <c r="D5" s="14"/>
      <c r="E5" s="14"/>
      <c r="F5" s="14"/>
      <c r="G5" s="14"/>
      <c r="H5" s="14"/>
      <c r="I5" s="14"/>
      <c r="J5" s="14"/>
      <c r="K5" s="14"/>
      <c r="L5" s="14"/>
    </row>
    <row r="6" spans="1:12" x14ac:dyDescent="0.35">
      <c r="A6" s="14"/>
      <c r="B6" s="14"/>
      <c r="C6" s="14"/>
      <c r="D6" s="14"/>
      <c r="E6" s="14"/>
      <c r="F6" s="14"/>
      <c r="G6" s="14"/>
      <c r="H6" s="14"/>
      <c r="I6" s="14"/>
      <c r="J6" s="14"/>
      <c r="K6" s="14"/>
      <c r="L6" s="14"/>
    </row>
    <row r="7" spans="1:12" x14ac:dyDescent="0.35">
      <c r="A7" s="14" t="s">
        <v>1452</v>
      </c>
      <c r="B7" s="14"/>
      <c r="C7" s="14"/>
      <c r="D7" s="14"/>
      <c r="E7" s="14"/>
      <c r="F7" s="14"/>
      <c r="G7" s="14"/>
      <c r="H7" s="14"/>
      <c r="I7" s="14"/>
      <c r="J7" s="14"/>
      <c r="K7" s="14"/>
      <c r="L7" s="14"/>
    </row>
    <row r="8" spans="1:12" x14ac:dyDescent="0.35">
      <c r="A8" s="14"/>
      <c r="B8" s="14"/>
      <c r="C8" s="14"/>
      <c r="D8" s="14"/>
      <c r="E8" s="14"/>
      <c r="F8" s="14"/>
      <c r="G8" s="14"/>
      <c r="H8" s="14"/>
      <c r="I8" s="14"/>
      <c r="J8" s="14"/>
      <c r="K8" s="14"/>
      <c r="L8" s="14"/>
    </row>
  </sheetData>
  <mergeCells count="4">
    <mergeCell ref="A1:L2"/>
    <mergeCell ref="A3:L4"/>
    <mergeCell ref="A5:L6"/>
    <mergeCell ref="A7:L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896B2-C46C-49F3-B8CD-1D17745BCC2D}">
  <dimension ref="A1:P1001"/>
  <sheetViews>
    <sheetView workbookViewId="0">
      <selection activeCell="E11" sqref="E11"/>
    </sheetView>
  </sheetViews>
  <sheetFormatPr defaultRowHeight="14.5" x14ac:dyDescent="0.35"/>
  <cols>
    <col min="1" max="6" width="13.36328125" customWidth="1"/>
    <col min="7" max="7" width="13.7265625" customWidth="1"/>
    <col min="8" max="14" width="13.36328125" customWidth="1"/>
    <col min="15" max="15" width="12.6328125" bestFit="1" customWidth="1"/>
    <col min="16" max="16" width="13.36328125" customWidth="1"/>
    <col min="17" max="17" width="13.08984375" customWidth="1"/>
  </cols>
  <sheetData>
    <row r="1" spans="1:16" x14ac:dyDescent="0.35">
      <c r="A1" t="s">
        <v>1439</v>
      </c>
      <c r="B1" t="s">
        <v>1438</v>
      </c>
      <c r="C1" s="6" t="s">
        <v>1437</v>
      </c>
      <c r="D1" s="6" t="s">
        <v>1436</v>
      </c>
      <c r="E1" t="s">
        <v>1435</v>
      </c>
      <c r="F1" t="s">
        <v>1434</v>
      </c>
      <c r="G1" t="s">
        <v>1433</v>
      </c>
      <c r="H1" t="s">
        <v>1432</v>
      </c>
      <c r="I1" t="s">
        <v>1431</v>
      </c>
      <c r="J1" t="s">
        <v>1430</v>
      </c>
      <c r="K1" t="s">
        <v>1429</v>
      </c>
      <c r="L1" t="s">
        <v>1428</v>
      </c>
      <c r="M1" t="s">
        <v>1427</v>
      </c>
      <c r="N1" t="s">
        <v>1426</v>
      </c>
      <c r="O1" t="s">
        <v>1425</v>
      </c>
      <c r="P1" s="6" t="s">
        <v>1424</v>
      </c>
    </row>
    <row r="2" spans="1:16" x14ac:dyDescent="0.35">
      <c r="A2" t="s">
        <v>1423</v>
      </c>
      <c r="B2" s="5" t="s">
        <v>698</v>
      </c>
      <c r="C2" s="5" t="s">
        <v>408</v>
      </c>
      <c r="D2" s="5" t="str">
        <f>"Q"&amp;ROUNDUP(MONTH(B2)/3,0)</f>
        <v>Q2</v>
      </c>
      <c r="E2" t="s">
        <v>36</v>
      </c>
      <c r="F2" t="s">
        <v>52</v>
      </c>
      <c r="G2" t="s">
        <v>39</v>
      </c>
      <c r="H2" t="s">
        <v>20</v>
      </c>
      <c r="I2" t="s">
        <v>19</v>
      </c>
      <c r="J2" s="4">
        <v>5</v>
      </c>
      <c r="K2" s="3">
        <v>32.33</v>
      </c>
      <c r="L2">
        <v>20</v>
      </c>
      <c r="M2" s="2">
        <v>129.32</v>
      </c>
      <c r="N2" s="2">
        <v>74.28</v>
      </c>
      <c r="O2" s="2">
        <v>55.04</v>
      </c>
      <c r="P2" s="1">
        <f>(Sales_Data[[#This Row],[Profit]]/Sales_Data[[#This Row],[Revenue]])</f>
        <v>0.42561088772038358</v>
      </c>
    </row>
    <row r="3" spans="1:16" x14ac:dyDescent="0.35">
      <c r="A3" t="s">
        <v>1422</v>
      </c>
      <c r="B3" s="5" t="s">
        <v>706</v>
      </c>
      <c r="C3" s="5" t="s">
        <v>408</v>
      </c>
      <c r="D3" s="5" t="str">
        <f>"Q"&amp;ROUNDUP(MONTH(B3)/3,0)</f>
        <v>Q2</v>
      </c>
      <c r="E3" t="s">
        <v>4</v>
      </c>
      <c r="F3" t="s">
        <v>56</v>
      </c>
      <c r="G3" t="s">
        <v>128</v>
      </c>
      <c r="H3" t="s">
        <v>34</v>
      </c>
      <c r="I3" t="s">
        <v>8</v>
      </c>
      <c r="J3" s="4">
        <v>2</v>
      </c>
      <c r="K3" s="3">
        <v>23300.66</v>
      </c>
      <c r="L3">
        <v>20</v>
      </c>
      <c r="M3" s="2">
        <v>37281.06</v>
      </c>
      <c r="N3" s="2">
        <v>30310.31</v>
      </c>
      <c r="O3" s="2">
        <v>6970.75</v>
      </c>
      <c r="P3" s="1">
        <f>(Sales_Data[[#This Row],[Profit]]/Sales_Data[[#This Row],[Revenue]])</f>
        <v>0.18697832089538227</v>
      </c>
    </row>
    <row r="4" spans="1:16" x14ac:dyDescent="0.35">
      <c r="A4" t="s">
        <v>1421</v>
      </c>
      <c r="B4" s="5" t="s">
        <v>1417</v>
      </c>
      <c r="C4" s="5" t="s">
        <v>408</v>
      </c>
      <c r="D4" s="5" t="str">
        <f>"Q"&amp;ROUNDUP(MONTH(B4)/3,0)</f>
        <v>Q2</v>
      </c>
      <c r="E4" t="s">
        <v>16</v>
      </c>
      <c r="F4" t="s">
        <v>3</v>
      </c>
      <c r="G4" t="s">
        <v>31</v>
      </c>
      <c r="H4" t="s">
        <v>50</v>
      </c>
      <c r="I4" t="s">
        <v>49</v>
      </c>
      <c r="J4" s="4">
        <v>6</v>
      </c>
      <c r="K4" s="3">
        <v>4806.49</v>
      </c>
      <c r="L4">
        <v>20</v>
      </c>
      <c r="M4" s="2">
        <v>23071.15</v>
      </c>
      <c r="N4" s="2">
        <v>15096.7</v>
      </c>
      <c r="O4" s="2">
        <v>7974.45</v>
      </c>
      <c r="P4" s="1">
        <f>(Sales_Data[[#This Row],[Profit]]/Sales_Data[[#This Row],[Revenue]])</f>
        <v>0.34564596909993645</v>
      </c>
    </row>
    <row r="5" spans="1:16" x14ac:dyDescent="0.35">
      <c r="A5" t="s">
        <v>1420</v>
      </c>
      <c r="B5" s="5" t="s">
        <v>424</v>
      </c>
      <c r="C5" s="5" t="s">
        <v>408</v>
      </c>
      <c r="D5" s="5" t="str">
        <f>"Q"&amp;ROUNDUP(MONTH(B5)/3,0)</f>
        <v>Q2</v>
      </c>
      <c r="E5" t="s">
        <v>4</v>
      </c>
      <c r="F5" t="s">
        <v>56</v>
      </c>
      <c r="G5" t="s">
        <v>82</v>
      </c>
      <c r="H5" t="s">
        <v>34</v>
      </c>
      <c r="I5" t="s">
        <v>8</v>
      </c>
      <c r="J5" s="4">
        <v>2</v>
      </c>
      <c r="K5" s="3">
        <v>26835.64</v>
      </c>
      <c r="L5">
        <v>20</v>
      </c>
      <c r="M5" s="2">
        <v>42937.02</v>
      </c>
      <c r="N5" s="2">
        <v>30276.02</v>
      </c>
      <c r="O5" s="2">
        <v>12661</v>
      </c>
      <c r="P5" s="1">
        <f>(Sales_Data[[#This Row],[Profit]]/Sales_Data[[#This Row],[Revenue]])</f>
        <v>0.29487374764247731</v>
      </c>
    </row>
    <row r="6" spans="1:16" x14ac:dyDescent="0.35">
      <c r="A6" t="s">
        <v>1419</v>
      </c>
      <c r="B6" s="5" t="s">
        <v>1417</v>
      </c>
      <c r="C6" s="5" t="s">
        <v>408</v>
      </c>
      <c r="D6" s="5" t="str">
        <f>"Q"&amp;ROUNDUP(MONTH(B6)/3,0)</f>
        <v>Q2</v>
      </c>
      <c r="E6" t="s">
        <v>16</v>
      </c>
      <c r="F6" t="s">
        <v>11</v>
      </c>
      <c r="G6" t="s">
        <v>116</v>
      </c>
      <c r="H6" t="s">
        <v>78</v>
      </c>
      <c r="I6" t="s">
        <v>19</v>
      </c>
      <c r="J6" s="4">
        <v>2</v>
      </c>
      <c r="K6" s="3">
        <v>128.82</v>
      </c>
      <c r="L6">
        <v>20</v>
      </c>
      <c r="M6" s="2">
        <v>206.11</v>
      </c>
      <c r="N6" s="2">
        <v>141.16999999999999</v>
      </c>
      <c r="O6" s="2">
        <v>64.94</v>
      </c>
      <c r="P6" s="1">
        <f>(Sales_Data[[#This Row],[Profit]]/Sales_Data[[#This Row],[Revenue]])</f>
        <v>0.31507447479501233</v>
      </c>
    </row>
    <row r="7" spans="1:16" x14ac:dyDescent="0.35">
      <c r="A7" t="s">
        <v>1418</v>
      </c>
      <c r="B7" s="5" t="s">
        <v>1417</v>
      </c>
      <c r="C7" s="5" t="s">
        <v>408</v>
      </c>
      <c r="D7" s="5" t="str">
        <f>"Q"&amp;ROUNDUP(MONTH(B7)/3,0)</f>
        <v>Q2</v>
      </c>
      <c r="E7" t="s">
        <v>4</v>
      </c>
      <c r="F7" t="s">
        <v>22</v>
      </c>
      <c r="G7" t="s">
        <v>29</v>
      </c>
      <c r="H7" t="s">
        <v>14</v>
      </c>
      <c r="I7" t="s">
        <v>8</v>
      </c>
      <c r="J7" s="4">
        <v>3</v>
      </c>
      <c r="K7" s="3">
        <v>2357.79</v>
      </c>
      <c r="L7">
        <v>20</v>
      </c>
      <c r="M7" s="2">
        <v>5658.7</v>
      </c>
      <c r="N7" s="2">
        <v>3459.29</v>
      </c>
      <c r="O7" s="2">
        <v>2199.41</v>
      </c>
      <c r="P7" s="1">
        <f>(Sales_Data[[#This Row],[Profit]]/Sales_Data[[#This Row],[Revenue]])</f>
        <v>0.38867761146553093</v>
      </c>
    </row>
    <row r="8" spans="1:16" x14ac:dyDescent="0.35">
      <c r="A8" t="s">
        <v>1416</v>
      </c>
      <c r="B8" s="5" t="s">
        <v>426</v>
      </c>
      <c r="C8" s="5" t="s">
        <v>408</v>
      </c>
      <c r="D8" s="5" t="str">
        <f>"Q"&amp;ROUNDUP(MONTH(B8)/3,0)</f>
        <v>Q2</v>
      </c>
      <c r="E8" t="s">
        <v>4</v>
      </c>
      <c r="F8" t="s">
        <v>63</v>
      </c>
      <c r="G8" t="s">
        <v>150</v>
      </c>
      <c r="H8" t="s">
        <v>45</v>
      </c>
      <c r="I8" t="s">
        <v>8</v>
      </c>
      <c r="J8" s="4">
        <v>6</v>
      </c>
      <c r="K8" s="3">
        <v>960.81</v>
      </c>
      <c r="L8">
        <v>20</v>
      </c>
      <c r="M8" s="2">
        <v>4611.8900000000003</v>
      </c>
      <c r="N8" s="2">
        <v>3185.94</v>
      </c>
      <c r="O8" s="2">
        <v>1425.95</v>
      </c>
      <c r="P8" s="1">
        <f>(Sales_Data[[#This Row],[Profit]]/Sales_Data[[#This Row],[Revenue]])</f>
        <v>0.30918994165081992</v>
      </c>
    </row>
    <row r="9" spans="1:16" x14ac:dyDescent="0.35">
      <c r="A9" t="s">
        <v>1415</v>
      </c>
      <c r="B9" s="5" t="s">
        <v>1182</v>
      </c>
      <c r="C9" s="5" t="s">
        <v>408</v>
      </c>
      <c r="D9" s="5" t="str">
        <f>"Q"&amp;ROUNDUP(MONTH(B9)/3,0)</f>
        <v>Q2</v>
      </c>
      <c r="E9" t="s">
        <v>4</v>
      </c>
      <c r="F9" t="s">
        <v>11</v>
      </c>
      <c r="G9" t="s">
        <v>220</v>
      </c>
      <c r="H9" t="s">
        <v>50</v>
      </c>
      <c r="I9" t="s">
        <v>49</v>
      </c>
      <c r="J9" s="4">
        <v>5</v>
      </c>
      <c r="K9" s="3">
        <v>4405.8599999999997</v>
      </c>
      <c r="L9">
        <v>20</v>
      </c>
      <c r="M9" s="2">
        <v>17623.439999999999</v>
      </c>
      <c r="N9" s="2">
        <v>10329.92</v>
      </c>
      <c r="O9" s="2">
        <v>7293.52</v>
      </c>
      <c r="P9" s="1">
        <f>(Sales_Data[[#This Row],[Profit]]/Sales_Data[[#This Row],[Revenue]])</f>
        <v>0.41385336801441724</v>
      </c>
    </row>
    <row r="10" spans="1:16" x14ac:dyDescent="0.35">
      <c r="A10" t="s">
        <v>1414</v>
      </c>
      <c r="B10" s="5" t="s">
        <v>413</v>
      </c>
      <c r="C10" s="5" t="s">
        <v>408</v>
      </c>
      <c r="D10" s="5" t="str">
        <f>"Q"&amp;ROUNDUP(MONTH(B10)/3,0)</f>
        <v>Q2</v>
      </c>
      <c r="E10" t="s">
        <v>23</v>
      </c>
      <c r="F10" t="s">
        <v>56</v>
      </c>
      <c r="G10" t="s">
        <v>39</v>
      </c>
      <c r="H10" t="s">
        <v>14</v>
      </c>
      <c r="I10" t="s">
        <v>8</v>
      </c>
      <c r="J10" s="4">
        <v>5</v>
      </c>
      <c r="K10" s="3">
        <v>2648.74</v>
      </c>
      <c r="L10">
        <v>20</v>
      </c>
      <c r="M10" s="2">
        <v>10594.96</v>
      </c>
      <c r="N10" s="2">
        <v>7428.25</v>
      </c>
      <c r="O10" s="2">
        <v>3166.71</v>
      </c>
      <c r="P10" s="1">
        <f>(Sales_Data[[#This Row],[Profit]]/Sales_Data[[#This Row],[Revenue]])</f>
        <v>0.29888833936135673</v>
      </c>
    </row>
    <row r="11" spans="1:16" x14ac:dyDescent="0.35">
      <c r="A11" t="s">
        <v>1413</v>
      </c>
      <c r="B11" s="5" t="s">
        <v>1177</v>
      </c>
      <c r="C11" s="5" t="s">
        <v>408</v>
      </c>
      <c r="D11" s="5" t="str">
        <f>"Q"&amp;ROUNDUP(MONTH(B11)/3,0)</f>
        <v>Q2</v>
      </c>
      <c r="E11" t="s">
        <v>23</v>
      </c>
      <c r="F11" t="s">
        <v>22</v>
      </c>
      <c r="G11" t="s">
        <v>29</v>
      </c>
      <c r="H11" t="s">
        <v>20</v>
      </c>
      <c r="I11" t="s">
        <v>19</v>
      </c>
      <c r="J11" s="4">
        <v>2</v>
      </c>
      <c r="K11" s="3">
        <v>32.21</v>
      </c>
      <c r="L11">
        <v>20</v>
      </c>
      <c r="M11" s="2">
        <v>51.54</v>
      </c>
      <c r="N11" s="2">
        <v>34.86</v>
      </c>
      <c r="O11" s="2">
        <v>16.68</v>
      </c>
      <c r="P11" s="1">
        <f>(Sales_Data[[#This Row],[Profit]]/Sales_Data[[#This Row],[Revenue]])</f>
        <v>0.32363213038416766</v>
      </c>
    </row>
    <row r="12" spans="1:16" x14ac:dyDescent="0.35">
      <c r="A12" t="s">
        <v>1412</v>
      </c>
      <c r="B12" s="5" t="s">
        <v>1411</v>
      </c>
      <c r="C12" s="5" t="s">
        <v>408</v>
      </c>
      <c r="D12" s="5" t="str">
        <f>"Q"&amp;ROUNDUP(MONTH(B12)/3,0)</f>
        <v>Q2</v>
      </c>
      <c r="E12" t="s">
        <v>16</v>
      </c>
      <c r="F12" t="s">
        <v>56</v>
      </c>
      <c r="G12" t="s">
        <v>112</v>
      </c>
      <c r="H12" t="s">
        <v>14</v>
      </c>
      <c r="I12" t="s">
        <v>8</v>
      </c>
      <c r="J12" s="4">
        <v>4</v>
      </c>
      <c r="K12" s="3">
        <v>2393.3200000000002</v>
      </c>
      <c r="L12">
        <v>20</v>
      </c>
      <c r="M12" s="2">
        <v>7658.62</v>
      </c>
      <c r="N12" s="2">
        <v>5300.73</v>
      </c>
      <c r="O12" s="2">
        <v>2357.89</v>
      </c>
      <c r="P12" s="1">
        <f>(Sales_Data[[#This Row],[Profit]]/Sales_Data[[#This Row],[Revenue]])</f>
        <v>0.30787400341053611</v>
      </c>
    </row>
    <row r="13" spans="1:16" x14ac:dyDescent="0.35">
      <c r="A13" t="s">
        <v>1410</v>
      </c>
      <c r="B13" s="5" t="s">
        <v>411</v>
      </c>
      <c r="C13" s="5" t="s">
        <v>408</v>
      </c>
      <c r="D13" s="5" t="str">
        <f>"Q"&amp;ROUNDUP(MONTH(B13)/3,0)</f>
        <v>Q2</v>
      </c>
      <c r="E13" t="s">
        <v>16</v>
      </c>
      <c r="F13" t="s">
        <v>22</v>
      </c>
      <c r="G13" t="s">
        <v>147</v>
      </c>
      <c r="H13" t="s">
        <v>78</v>
      </c>
      <c r="I13" t="s">
        <v>19</v>
      </c>
      <c r="J13" s="4">
        <v>6</v>
      </c>
      <c r="K13" s="3">
        <v>117.87</v>
      </c>
      <c r="L13">
        <v>20</v>
      </c>
      <c r="M13" s="2">
        <v>565.78</v>
      </c>
      <c r="N13" s="2">
        <v>469.45</v>
      </c>
      <c r="O13" s="2">
        <v>96.33</v>
      </c>
      <c r="P13" s="1">
        <f>(Sales_Data[[#This Row],[Profit]]/Sales_Data[[#This Row],[Revenue]])</f>
        <v>0.17026052529251653</v>
      </c>
    </row>
    <row r="14" spans="1:16" x14ac:dyDescent="0.35">
      <c r="A14" t="s">
        <v>1409</v>
      </c>
      <c r="B14" s="5" t="s">
        <v>718</v>
      </c>
      <c r="C14" s="5" t="s">
        <v>408</v>
      </c>
      <c r="D14" s="5" t="str">
        <f>"Q"&amp;ROUNDUP(MONTH(B14)/3,0)</f>
        <v>Q2</v>
      </c>
      <c r="E14" t="s">
        <v>36</v>
      </c>
      <c r="F14" t="s">
        <v>56</v>
      </c>
      <c r="G14" t="s">
        <v>98</v>
      </c>
      <c r="H14" t="s">
        <v>50</v>
      </c>
      <c r="I14" t="s">
        <v>49</v>
      </c>
      <c r="J14" s="4">
        <v>4</v>
      </c>
      <c r="K14" s="3">
        <v>4623.26</v>
      </c>
      <c r="L14">
        <v>20</v>
      </c>
      <c r="M14" s="2">
        <v>14794.43</v>
      </c>
      <c r="N14" s="2">
        <v>11873.03</v>
      </c>
      <c r="O14" s="2">
        <v>2921.4</v>
      </c>
      <c r="P14" s="1">
        <f>(Sales_Data[[#This Row],[Profit]]/Sales_Data[[#This Row],[Revenue]])</f>
        <v>0.19746620856633207</v>
      </c>
    </row>
    <row r="15" spans="1:16" x14ac:dyDescent="0.35">
      <c r="A15" t="s">
        <v>1408</v>
      </c>
      <c r="B15" s="5" t="s">
        <v>712</v>
      </c>
      <c r="C15" s="5" t="s">
        <v>408</v>
      </c>
      <c r="D15" s="5" t="str">
        <f>"Q"&amp;ROUNDUP(MONTH(B15)/3,0)</f>
        <v>Q2</v>
      </c>
      <c r="E15" t="s">
        <v>36</v>
      </c>
      <c r="F15" t="s">
        <v>11</v>
      </c>
      <c r="G15" t="s">
        <v>369</v>
      </c>
      <c r="H15" t="s">
        <v>9</v>
      </c>
      <c r="I15" t="s">
        <v>8</v>
      </c>
      <c r="J15" s="4">
        <v>5</v>
      </c>
      <c r="K15" s="3">
        <v>63086.23</v>
      </c>
      <c r="L15">
        <v>20</v>
      </c>
      <c r="M15" s="2">
        <v>252344.92</v>
      </c>
      <c r="N15" s="2">
        <v>184056.72</v>
      </c>
      <c r="O15" s="2">
        <v>68288.2</v>
      </c>
      <c r="P15" s="1">
        <f>(Sales_Data[[#This Row],[Profit]]/Sales_Data[[#This Row],[Revenue]])</f>
        <v>0.27061452237675321</v>
      </c>
    </row>
    <row r="16" spans="1:16" x14ac:dyDescent="0.35">
      <c r="A16" t="s">
        <v>1407</v>
      </c>
      <c r="B16" s="5" t="s">
        <v>426</v>
      </c>
      <c r="C16" s="5" t="s">
        <v>408</v>
      </c>
      <c r="D16" s="5" t="str">
        <f>"Q"&amp;ROUNDUP(MONTH(B16)/3,0)</f>
        <v>Q2</v>
      </c>
      <c r="E16" t="s">
        <v>23</v>
      </c>
      <c r="F16" t="s">
        <v>22</v>
      </c>
      <c r="G16" t="s">
        <v>26</v>
      </c>
      <c r="H16" t="s">
        <v>14</v>
      </c>
      <c r="I16" t="s">
        <v>8</v>
      </c>
      <c r="J16" s="4">
        <v>1</v>
      </c>
      <c r="K16" s="3">
        <v>2446.52</v>
      </c>
      <c r="L16">
        <v>20</v>
      </c>
      <c r="M16" s="2">
        <v>1957.22</v>
      </c>
      <c r="N16" s="2">
        <v>1310.06</v>
      </c>
      <c r="O16" s="2">
        <v>647.16</v>
      </c>
      <c r="P16" s="1">
        <f>(Sales_Data[[#This Row],[Profit]]/Sales_Data[[#This Row],[Revenue]])</f>
        <v>0.33065266040608615</v>
      </c>
    </row>
    <row r="17" spans="1:16" x14ac:dyDescent="0.35">
      <c r="A17" t="s">
        <v>1406</v>
      </c>
      <c r="B17" s="5" t="s">
        <v>958</v>
      </c>
      <c r="C17" s="5" t="s">
        <v>408</v>
      </c>
      <c r="D17" s="5" t="str">
        <f>"Q"&amp;ROUNDUP(MONTH(B17)/3,0)</f>
        <v>Q2</v>
      </c>
      <c r="E17" t="s">
        <v>16</v>
      </c>
      <c r="F17" t="s">
        <v>11</v>
      </c>
      <c r="G17" t="s">
        <v>108</v>
      </c>
      <c r="H17" t="s">
        <v>111</v>
      </c>
      <c r="I17" t="s">
        <v>49</v>
      </c>
      <c r="J17" s="4">
        <v>4</v>
      </c>
      <c r="K17" s="3">
        <v>8685.8700000000008</v>
      </c>
      <c r="L17">
        <v>20</v>
      </c>
      <c r="M17" s="2">
        <v>27794.78</v>
      </c>
      <c r="N17" s="2">
        <v>17322.84</v>
      </c>
      <c r="O17" s="2">
        <v>10471.94</v>
      </c>
      <c r="P17" s="1">
        <f>(Sales_Data[[#This Row],[Profit]]/Sales_Data[[#This Row],[Revenue]])</f>
        <v>0.37675923320853777</v>
      </c>
    </row>
    <row r="18" spans="1:16" x14ac:dyDescent="0.35">
      <c r="A18" t="s">
        <v>1405</v>
      </c>
      <c r="B18" s="5" t="s">
        <v>960</v>
      </c>
      <c r="C18" s="5" t="s">
        <v>408</v>
      </c>
      <c r="D18" s="5" t="str">
        <f>"Q"&amp;ROUNDUP(MONTH(B18)/3,0)</f>
        <v>Q2</v>
      </c>
      <c r="E18" t="s">
        <v>36</v>
      </c>
      <c r="F18" t="s">
        <v>11</v>
      </c>
      <c r="G18" t="s">
        <v>51</v>
      </c>
      <c r="H18" t="s">
        <v>34</v>
      </c>
      <c r="I18" t="s">
        <v>8</v>
      </c>
      <c r="J18" s="4">
        <v>7</v>
      </c>
      <c r="K18" s="3">
        <v>22976.41</v>
      </c>
      <c r="L18">
        <v>20</v>
      </c>
      <c r="M18" s="2">
        <v>128667.9</v>
      </c>
      <c r="N18" s="2">
        <v>103290.62</v>
      </c>
      <c r="O18" s="2">
        <v>25377.279999999999</v>
      </c>
      <c r="P18" s="1">
        <f>(Sales_Data[[#This Row],[Profit]]/Sales_Data[[#This Row],[Revenue]])</f>
        <v>0.19723085555915656</v>
      </c>
    </row>
    <row r="19" spans="1:16" x14ac:dyDescent="0.35">
      <c r="A19" t="s">
        <v>1404</v>
      </c>
      <c r="B19" s="5" t="s">
        <v>708</v>
      </c>
      <c r="C19" s="5" t="s">
        <v>408</v>
      </c>
      <c r="D19" s="5" t="str">
        <f>"Q"&amp;ROUNDUP(MONTH(B19)/3,0)</f>
        <v>Q2</v>
      </c>
      <c r="E19" t="s">
        <v>23</v>
      </c>
      <c r="F19" t="s">
        <v>22</v>
      </c>
      <c r="G19" t="s">
        <v>214</v>
      </c>
      <c r="H19" t="s">
        <v>111</v>
      </c>
      <c r="I19" t="s">
        <v>49</v>
      </c>
      <c r="J19" s="4">
        <v>6</v>
      </c>
      <c r="K19" s="3">
        <v>8450.1</v>
      </c>
      <c r="L19">
        <v>20</v>
      </c>
      <c r="M19" s="2">
        <v>40560.480000000003</v>
      </c>
      <c r="N19" s="2">
        <v>33064.120000000003</v>
      </c>
      <c r="O19" s="2">
        <v>7496.36</v>
      </c>
      <c r="P19" s="1">
        <f>(Sales_Data[[#This Row],[Profit]]/Sales_Data[[#This Row],[Revenue]])</f>
        <v>0.18481931180301611</v>
      </c>
    </row>
    <row r="20" spans="1:16" x14ac:dyDescent="0.35">
      <c r="A20" t="s">
        <v>1403</v>
      </c>
      <c r="B20" s="5" t="s">
        <v>706</v>
      </c>
      <c r="C20" s="5" t="s">
        <v>408</v>
      </c>
      <c r="D20" s="5" t="str">
        <f>"Q"&amp;ROUNDUP(MONTH(B20)/3,0)</f>
        <v>Q2</v>
      </c>
      <c r="E20" t="s">
        <v>16</v>
      </c>
      <c r="F20" t="s">
        <v>63</v>
      </c>
      <c r="G20" t="s">
        <v>369</v>
      </c>
      <c r="H20" t="s">
        <v>111</v>
      </c>
      <c r="I20" t="s">
        <v>49</v>
      </c>
      <c r="J20" s="4">
        <v>7</v>
      </c>
      <c r="K20" s="3">
        <v>7301.22</v>
      </c>
      <c r="L20">
        <v>20</v>
      </c>
      <c r="M20" s="2">
        <v>40886.83</v>
      </c>
      <c r="N20" s="2">
        <v>22498.55</v>
      </c>
      <c r="O20" s="2">
        <v>18388.28</v>
      </c>
      <c r="P20" s="1">
        <f>(Sales_Data[[#This Row],[Profit]]/Sales_Data[[#This Row],[Revenue]])</f>
        <v>0.44973601524011519</v>
      </c>
    </row>
    <row r="21" spans="1:16" x14ac:dyDescent="0.35">
      <c r="A21" t="s">
        <v>1402</v>
      </c>
      <c r="B21" s="5" t="s">
        <v>945</v>
      </c>
      <c r="C21" s="5" t="s">
        <v>408</v>
      </c>
      <c r="D21" s="5" t="str">
        <f>"Q"&amp;ROUNDUP(MONTH(B21)/3,0)</f>
        <v>Q2</v>
      </c>
      <c r="E21" t="s">
        <v>16</v>
      </c>
      <c r="F21" t="s">
        <v>3</v>
      </c>
      <c r="G21" t="s">
        <v>159</v>
      </c>
      <c r="H21" t="s">
        <v>111</v>
      </c>
      <c r="I21" t="s">
        <v>49</v>
      </c>
      <c r="J21" s="4">
        <v>7</v>
      </c>
      <c r="K21" s="3">
        <v>7979.28</v>
      </c>
      <c r="L21">
        <v>20</v>
      </c>
      <c r="M21" s="2">
        <v>44683.97</v>
      </c>
      <c r="N21" s="2">
        <v>28744.71</v>
      </c>
      <c r="O21" s="2">
        <v>15939.26</v>
      </c>
      <c r="P21" s="1">
        <f>(Sales_Data[[#This Row],[Profit]]/Sales_Data[[#This Row],[Revenue]])</f>
        <v>0.35671091892685453</v>
      </c>
    </row>
    <row r="22" spans="1:16" x14ac:dyDescent="0.35">
      <c r="A22" t="s">
        <v>1401</v>
      </c>
      <c r="B22" s="5" t="s">
        <v>393</v>
      </c>
      <c r="C22" s="5" t="s">
        <v>382</v>
      </c>
      <c r="D22" s="5" t="str">
        <f>"Q"&amp;ROUNDUP(MONTH(B22)/3,0)</f>
        <v>Q3</v>
      </c>
      <c r="E22" t="s">
        <v>36</v>
      </c>
      <c r="F22" t="s">
        <v>3</v>
      </c>
      <c r="G22" t="s">
        <v>369</v>
      </c>
      <c r="H22" t="s">
        <v>59</v>
      </c>
      <c r="I22" t="s">
        <v>0</v>
      </c>
      <c r="J22" s="4">
        <v>6</v>
      </c>
      <c r="K22" s="3">
        <v>1616.56</v>
      </c>
      <c r="L22">
        <v>20</v>
      </c>
      <c r="M22" s="2">
        <v>7759.49</v>
      </c>
      <c r="N22" s="2">
        <v>5630.59</v>
      </c>
      <c r="O22" s="2">
        <v>2128.9</v>
      </c>
      <c r="P22" s="1">
        <f>(Sales_Data[[#This Row],[Profit]]/Sales_Data[[#This Row],[Revenue]])</f>
        <v>0.2743608149504671</v>
      </c>
    </row>
    <row r="23" spans="1:16" x14ac:dyDescent="0.35">
      <c r="A23" t="s">
        <v>1400</v>
      </c>
      <c r="B23" s="5" t="s">
        <v>672</v>
      </c>
      <c r="C23" s="5" t="s">
        <v>382</v>
      </c>
      <c r="D23" s="5" t="str">
        <f>"Q"&amp;ROUNDUP(MONTH(B23)/3,0)</f>
        <v>Q3</v>
      </c>
      <c r="E23" t="s">
        <v>4</v>
      </c>
      <c r="F23" t="s">
        <v>11</v>
      </c>
      <c r="G23" t="s">
        <v>98</v>
      </c>
      <c r="H23" t="s">
        <v>111</v>
      </c>
      <c r="I23" t="s">
        <v>49</v>
      </c>
      <c r="J23" s="4">
        <v>8</v>
      </c>
      <c r="K23" s="3">
        <v>7910.43</v>
      </c>
      <c r="L23">
        <v>20</v>
      </c>
      <c r="M23" s="2">
        <v>50626.75</v>
      </c>
      <c r="N23" s="2">
        <v>42423.94</v>
      </c>
      <c r="O23" s="2">
        <v>8202.81</v>
      </c>
      <c r="P23" s="1">
        <f>(Sales_Data[[#This Row],[Profit]]/Sales_Data[[#This Row],[Revenue]])</f>
        <v>0.1620252139432217</v>
      </c>
    </row>
    <row r="24" spans="1:16" x14ac:dyDescent="0.35">
      <c r="A24" t="s">
        <v>1399</v>
      </c>
      <c r="B24" s="5" t="s">
        <v>675</v>
      </c>
      <c r="C24" s="5" t="s">
        <v>382</v>
      </c>
      <c r="D24" s="5" t="str">
        <f>"Q"&amp;ROUNDUP(MONTH(B24)/3,0)</f>
        <v>Q3</v>
      </c>
      <c r="E24" t="s">
        <v>23</v>
      </c>
      <c r="F24" t="s">
        <v>56</v>
      </c>
      <c r="G24" t="s">
        <v>35</v>
      </c>
      <c r="H24" t="s">
        <v>59</v>
      </c>
      <c r="I24" t="s">
        <v>0</v>
      </c>
      <c r="J24" s="4">
        <v>7</v>
      </c>
      <c r="K24" s="3">
        <v>1427.09</v>
      </c>
      <c r="L24">
        <v>20</v>
      </c>
      <c r="M24" s="2">
        <v>7991.7</v>
      </c>
      <c r="N24" s="2">
        <v>6785.29</v>
      </c>
      <c r="O24" s="2">
        <v>1206.4100000000001</v>
      </c>
      <c r="P24" s="1">
        <f>(Sales_Data[[#This Row],[Profit]]/Sales_Data[[#This Row],[Revenue]])</f>
        <v>0.15095786878886847</v>
      </c>
    </row>
    <row r="25" spans="1:16" x14ac:dyDescent="0.35">
      <c r="A25" t="s">
        <v>1398</v>
      </c>
      <c r="B25" s="5" t="s">
        <v>406</v>
      </c>
      <c r="C25" s="5" t="s">
        <v>382</v>
      </c>
      <c r="D25" s="5" t="str">
        <f>"Q"&amp;ROUNDUP(MONTH(B25)/3,0)</f>
        <v>Q3</v>
      </c>
      <c r="E25" t="s">
        <v>16</v>
      </c>
      <c r="F25" t="s">
        <v>63</v>
      </c>
      <c r="G25" t="s">
        <v>75</v>
      </c>
      <c r="H25" t="s">
        <v>59</v>
      </c>
      <c r="I25" t="s">
        <v>0</v>
      </c>
      <c r="J25" s="4">
        <v>7</v>
      </c>
      <c r="K25" s="3">
        <v>1647.01</v>
      </c>
      <c r="L25">
        <v>20</v>
      </c>
      <c r="M25" s="2">
        <v>9223.26</v>
      </c>
      <c r="N25" s="2">
        <v>5560.59</v>
      </c>
      <c r="O25" s="2">
        <v>3662.67</v>
      </c>
      <c r="P25" s="1">
        <f>(Sales_Data[[#This Row],[Profit]]/Sales_Data[[#This Row],[Revenue]])</f>
        <v>0.39711230085674698</v>
      </c>
    </row>
    <row r="26" spans="1:16" x14ac:dyDescent="0.35">
      <c r="A26" t="s">
        <v>1397</v>
      </c>
      <c r="B26" s="5" t="s">
        <v>679</v>
      </c>
      <c r="C26" s="5" t="s">
        <v>382</v>
      </c>
      <c r="D26" s="5" t="str">
        <f>"Q"&amp;ROUNDUP(MONTH(B26)/3,0)</f>
        <v>Q3</v>
      </c>
      <c r="E26" t="s">
        <v>36</v>
      </c>
      <c r="F26" t="s">
        <v>56</v>
      </c>
      <c r="G26" t="s">
        <v>116</v>
      </c>
      <c r="H26" t="s">
        <v>9</v>
      </c>
      <c r="I26" t="s">
        <v>8</v>
      </c>
      <c r="J26" s="4">
        <v>4</v>
      </c>
      <c r="K26" s="3">
        <v>57916.160000000003</v>
      </c>
      <c r="L26">
        <v>20</v>
      </c>
      <c r="M26" s="2">
        <v>185331.71</v>
      </c>
      <c r="N26" s="2">
        <v>138814.56</v>
      </c>
      <c r="O26" s="2">
        <v>46517.15</v>
      </c>
      <c r="P26" s="1">
        <f>(Sales_Data[[#This Row],[Profit]]/Sales_Data[[#This Row],[Revenue]])</f>
        <v>0.25099401500153429</v>
      </c>
    </row>
    <row r="27" spans="1:16" x14ac:dyDescent="0.35">
      <c r="A27" t="s">
        <v>1396</v>
      </c>
      <c r="B27" s="5" t="s">
        <v>401</v>
      </c>
      <c r="C27" s="5" t="s">
        <v>382</v>
      </c>
      <c r="D27" s="5" t="str">
        <f>"Q"&amp;ROUNDUP(MONTH(B27)/3,0)</f>
        <v>Q3</v>
      </c>
      <c r="E27" t="s">
        <v>36</v>
      </c>
      <c r="F27" t="s">
        <v>11</v>
      </c>
      <c r="G27" t="s">
        <v>169</v>
      </c>
      <c r="H27" t="s">
        <v>111</v>
      </c>
      <c r="I27" t="s">
        <v>49</v>
      </c>
      <c r="J27" s="4">
        <v>1</v>
      </c>
      <c r="K27" s="3">
        <v>8284.0300000000007</v>
      </c>
      <c r="L27">
        <v>20</v>
      </c>
      <c r="M27" s="2">
        <v>6627.22</v>
      </c>
      <c r="N27" s="2">
        <v>5128.1099999999997</v>
      </c>
      <c r="O27" s="2">
        <v>1499.11</v>
      </c>
      <c r="P27" s="1">
        <f>(Sales_Data[[#This Row],[Profit]]/Sales_Data[[#This Row],[Revenue]])</f>
        <v>0.22620495471706081</v>
      </c>
    </row>
    <row r="28" spans="1:16" x14ac:dyDescent="0.35">
      <c r="A28" t="s">
        <v>1395</v>
      </c>
      <c r="B28" s="5" t="s">
        <v>679</v>
      </c>
      <c r="C28" s="5" t="s">
        <v>382</v>
      </c>
      <c r="D28" s="5" t="str">
        <f>"Q"&amp;ROUNDUP(MONTH(B28)/3,0)</f>
        <v>Q3</v>
      </c>
      <c r="E28" t="s">
        <v>16</v>
      </c>
      <c r="F28" t="s">
        <v>22</v>
      </c>
      <c r="G28" t="s">
        <v>112</v>
      </c>
      <c r="H28" t="s">
        <v>78</v>
      </c>
      <c r="I28" t="s">
        <v>19</v>
      </c>
      <c r="J28" s="4">
        <v>8</v>
      </c>
      <c r="K28" s="3">
        <v>117.48</v>
      </c>
      <c r="L28">
        <v>20</v>
      </c>
      <c r="M28" s="2">
        <v>751.87</v>
      </c>
      <c r="N28" s="2">
        <v>601.86</v>
      </c>
      <c r="O28" s="2">
        <v>150.01</v>
      </c>
      <c r="P28" s="1">
        <f>(Sales_Data[[#This Row],[Profit]]/Sales_Data[[#This Row],[Revenue]])</f>
        <v>0.19951587375477142</v>
      </c>
    </row>
    <row r="29" spans="1:16" x14ac:dyDescent="0.35">
      <c r="A29" t="s">
        <v>1394</v>
      </c>
      <c r="B29" s="5" t="s">
        <v>383</v>
      </c>
      <c r="C29" s="5" t="s">
        <v>382</v>
      </c>
      <c r="D29" s="5" t="str">
        <f>"Q"&amp;ROUNDUP(MONTH(B29)/3,0)</f>
        <v>Q3</v>
      </c>
      <c r="E29" t="s">
        <v>36</v>
      </c>
      <c r="F29" t="s">
        <v>3</v>
      </c>
      <c r="G29" t="s">
        <v>166</v>
      </c>
      <c r="H29" t="s">
        <v>20</v>
      </c>
      <c r="I29" t="s">
        <v>19</v>
      </c>
      <c r="J29" s="4">
        <v>8</v>
      </c>
      <c r="K29" s="3">
        <v>31.76</v>
      </c>
      <c r="L29">
        <v>20</v>
      </c>
      <c r="M29" s="2">
        <v>203.26</v>
      </c>
      <c r="N29" s="2">
        <v>119.67</v>
      </c>
      <c r="O29" s="2">
        <v>83.59</v>
      </c>
      <c r="P29" s="1">
        <f>(Sales_Data[[#This Row],[Profit]]/Sales_Data[[#This Row],[Revenue]])</f>
        <v>0.41124667913017815</v>
      </c>
    </row>
    <row r="30" spans="1:16" x14ac:dyDescent="0.35">
      <c r="A30" t="s">
        <v>1393</v>
      </c>
      <c r="B30" s="5" t="s">
        <v>687</v>
      </c>
      <c r="C30" s="5" t="s">
        <v>382</v>
      </c>
      <c r="D30" s="5" t="str">
        <f>"Q"&amp;ROUNDUP(MONTH(B30)/3,0)</f>
        <v>Q3</v>
      </c>
      <c r="E30" t="s">
        <v>36</v>
      </c>
      <c r="F30" t="s">
        <v>63</v>
      </c>
      <c r="G30" t="s">
        <v>159</v>
      </c>
      <c r="H30" t="s">
        <v>1</v>
      </c>
      <c r="I30" t="s">
        <v>0</v>
      </c>
      <c r="J30" s="4">
        <v>1</v>
      </c>
      <c r="K30" s="3">
        <v>485.47</v>
      </c>
      <c r="L30">
        <v>20</v>
      </c>
      <c r="M30" s="2">
        <v>388.38</v>
      </c>
      <c r="N30" s="2">
        <v>264.35000000000002</v>
      </c>
      <c r="O30" s="2">
        <v>124.03</v>
      </c>
      <c r="P30" s="1">
        <f>(Sales_Data[[#This Row],[Profit]]/Sales_Data[[#This Row],[Revenue]])</f>
        <v>0.31935218085380296</v>
      </c>
    </row>
    <row r="31" spans="1:16" x14ac:dyDescent="0.35">
      <c r="A31" t="s">
        <v>1392</v>
      </c>
      <c r="B31" s="5" t="s">
        <v>672</v>
      </c>
      <c r="C31" s="5" t="s">
        <v>382</v>
      </c>
      <c r="D31" s="5" t="str">
        <f>"Q"&amp;ROUNDUP(MONTH(B31)/3,0)</f>
        <v>Q3</v>
      </c>
      <c r="E31" t="s">
        <v>23</v>
      </c>
      <c r="F31" t="s">
        <v>11</v>
      </c>
      <c r="G31" t="s">
        <v>108</v>
      </c>
      <c r="H31" t="s">
        <v>78</v>
      </c>
      <c r="I31" t="s">
        <v>19</v>
      </c>
      <c r="J31" s="4">
        <v>2</v>
      </c>
      <c r="K31" s="3">
        <v>114.54</v>
      </c>
      <c r="L31">
        <v>20</v>
      </c>
      <c r="M31" s="2">
        <v>183.26</v>
      </c>
      <c r="N31" s="2">
        <v>152.31</v>
      </c>
      <c r="O31" s="2">
        <v>30.95</v>
      </c>
      <c r="P31" s="1">
        <f>(Sales_Data[[#This Row],[Profit]]/Sales_Data[[#This Row],[Revenue]])</f>
        <v>0.16888573611262686</v>
      </c>
    </row>
    <row r="32" spans="1:16" x14ac:dyDescent="0.35">
      <c r="A32" t="s">
        <v>1391</v>
      </c>
      <c r="B32" s="5" t="s">
        <v>689</v>
      </c>
      <c r="C32" s="5" t="s">
        <v>382</v>
      </c>
      <c r="D32" s="5" t="str">
        <f>"Q"&amp;ROUNDUP(MONTH(B32)/3,0)</f>
        <v>Q3</v>
      </c>
      <c r="E32" t="s">
        <v>16</v>
      </c>
      <c r="F32" t="s">
        <v>63</v>
      </c>
      <c r="G32" t="s">
        <v>112</v>
      </c>
      <c r="H32" t="s">
        <v>34</v>
      </c>
      <c r="I32" t="s">
        <v>8</v>
      </c>
      <c r="J32" s="4">
        <v>8</v>
      </c>
      <c r="K32" s="3">
        <v>26596.89</v>
      </c>
      <c r="L32">
        <v>20</v>
      </c>
      <c r="M32" s="2">
        <v>170220.1</v>
      </c>
      <c r="N32" s="2">
        <v>133494.5</v>
      </c>
      <c r="O32" s="2">
        <v>36725.599999999999</v>
      </c>
      <c r="P32" s="1">
        <f>(Sales_Data[[#This Row],[Profit]]/Sales_Data[[#This Row],[Revenue]])</f>
        <v>0.21575360371659985</v>
      </c>
    </row>
    <row r="33" spans="1:16" x14ac:dyDescent="0.35">
      <c r="A33" t="s">
        <v>1390</v>
      </c>
      <c r="B33" s="5" t="s">
        <v>389</v>
      </c>
      <c r="C33" s="5" t="s">
        <v>382</v>
      </c>
      <c r="D33" s="5" t="str">
        <f>"Q"&amp;ROUNDUP(MONTH(B33)/3,0)</f>
        <v>Q3</v>
      </c>
      <c r="E33" t="s">
        <v>36</v>
      </c>
      <c r="F33" t="s">
        <v>3</v>
      </c>
      <c r="G33" t="s">
        <v>191</v>
      </c>
      <c r="H33" t="s">
        <v>34</v>
      </c>
      <c r="I33" t="s">
        <v>8</v>
      </c>
      <c r="J33" s="4">
        <v>4</v>
      </c>
      <c r="K33" s="3">
        <v>25582.57</v>
      </c>
      <c r="L33">
        <v>20</v>
      </c>
      <c r="M33" s="2">
        <v>81864.22</v>
      </c>
      <c r="N33" s="2">
        <v>45848.11</v>
      </c>
      <c r="O33" s="2">
        <v>36016.11</v>
      </c>
      <c r="P33" s="1">
        <f>(Sales_Data[[#This Row],[Profit]]/Sales_Data[[#This Row],[Revenue]])</f>
        <v>0.43994934539167418</v>
      </c>
    </row>
    <row r="34" spans="1:16" x14ac:dyDescent="0.35">
      <c r="A34" t="s">
        <v>1389</v>
      </c>
      <c r="B34" s="5" t="s">
        <v>1388</v>
      </c>
      <c r="C34" s="5" t="s">
        <v>382</v>
      </c>
      <c r="D34" s="5" t="str">
        <f>"Q"&amp;ROUNDUP(MONTH(B34)/3,0)</f>
        <v>Q3</v>
      </c>
      <c r="E34" t="s">
        <v>23</v>
      </c>
      <c r="F34" t="s">
        <v>56</v>
      </c>
      <c r="G34" t="s">
        <v>220</v>
      </c>
      <c r="H34" t="s">
        <v>111</v>
      </c>
      <c r="I34" t="s">
        <v>49</v>
      </c>
      <c r="J34" s="4">
        <v>8</v>
      </c>
      <c r="K34" s="3">
        <v>7440.41</v>
      </c>
      <c r="L34">
        <v>20</v>
      </c>
      <c r="M34" s="2">
        <v>47618.62</v>
      </c>
      <c r="N34" s="2">
        <v>28135.58</v>
      </c>
      <c r="O34" s="2">
        <v>19483.04</v>
      </c>
      <c r="P34" s="1">
        <f>(Sales_Data[[#This Row],[Profit]]/Sales_Data[[#This Row],[Revenue]])</f>
        <v>0.40914751414467704</v>
      </c>
    </row>
    <row r="35" spans="1:16" x14ac:dyDescent="0.35">
      <c r="A35" t="s">
        <v>1387</v>
      </c>
      <c r="B35" s="5" t="s">
        <v>401</v>
      </c>
      <c r="C35" s="5" t="s">
        <v>382</v>
      </c>
      <c r="D35" s="5" t="str">
        <f>"Q"&amp;ROUNDUP(MONTH(B35)/3,0)</f>
        <v>Q3</v>
      </c>
      <c r="E35" t="s">
        <v>4</v>
      </c>
      <c r="F35" t="s">
        <v>3</v>
      </c>
      <c r="G35" t="s">
        <v>369</v>
      </c>
      <c r="H35" t="s">
        <v>78</v>
      </c>
      <c r="I35" t="s">
        <v>19</v>
      </c>
      <c r="J35" s="4">
        <v>2</v>
      </c>
      <c r="K35" s="3">
        <v>130.99</v>
      </c>
      <c r="L35">
        <v>20</v>
      </c>
      <c r="M35" s="2">
        <v>209.58</v>
      </c>
      <c r="N35" s="2">
        <v>140.34</v>
      </c>
      <c r="O35" s="2">
        <v>69.239999999999995</v>
      </c>
      <c r="P35" s="1">
        <f>(Sales_Data[[#This Row],[Profit]]/Sales_Data[[#This Row],[Revenue]])</f>
        <v>0.33037503578585736</v>
      </c>
    </row>
    <row r="36" spans="1:16" x14ac:dyDescent="0.35">
      <c r="A36" t="s">
        <v>1386</v>
      </c>
      <c r="B36" s="5" t="s">
        <v>681</v>
      </c>
      <c r="C36" s="5" t="s">
        <v>382</v>
      </c>
      <c r="D36" s="5" t="str">
        <f>"Q"&amp;ROUNDUP(MONTH(B36)/3,0)</f>
        <v>Q3</v>
      </c>
      <c r="E36" t="s">
        <v>36</v>
      </c>
      <c r="F36" t="s">
        <v>11</v>
      </c>
      <c r="G36" t="s">
        <v>137</v>
      </c>
      <c r="H36" t="s">
        <v>20</v>
      </c>
      <c r="I36" t="s">
        <v>19</v>
      </c>
      <c r="J36" s="4">
        <v>6</v>
      </c>
      <c r="K36" s="3">
        <v>27.66</v>
      </c>
      <c r="L36">
        <v>20</v>
      </c>
      <c r="M36" s="2">
        <v>132.77000000000001</v>
      </c>
      <c r="N36" s="2">
        <v>102.35</v>
      </c>
      <c r="O36" s="2">
        <v>30.42</v>
      </c>
      <c r="P36" s="1">
        <f>(Sales_Data[[#This Row],[Profit]]/Sales_Data[[#This Row],[Revenue]])</f>
        <v>0.2291180236499209</v>
      </c>
    </row>
    <row r="37" spans="1:16" x14ac:dyDescent="0.35">
      <c r="A37" t="s">
        <v>1385</v>
      </c>
      <c r="B37" s="5" t="s">
        <v>383</v>
      </c>
      <c r="C37" s="5" t="s">
        <v>382</v>
      </c>
      <c r="D37" s="5" t="str">
        <f>"Q"&amp;ROUNDUP(MONTH(B37)/3,0)</f>
        <v>Q3</v>
      </c>
      <c r="E37" t="s">
        <v>23</v>
      </c>
      <c r="F37" t="s">
        <v>52</v>
      </c>
      <c r="G37" t="s">
        <v>220</v>
      </c>
      <c r="H37" t="s">
        <v>111</v>
      </c>
      <c r="I37" t="s">
        <v>49</v>
      </c>
      <c r="J37" s="4">
        <v>3</v>
      </c>
      <c r="K37" s="3">
        <v>8740.89</v>
      </c>
      <c r="L37">
        <v>20</v>
      </c>
      <c r="M37" s="2">
        <v>20978.14</v>
      </c>
      <c r="N37" s="2">
        <v>13513.96</v>
      </c>
      <c r="O37" s="2">
        <v>7464.18</v>
      </c>
      <c r="P37" s="1">
        <f>(Sales_Data[[#This Row],[Profit]]/Sales_Data[[#This Row],[Revenue]])</f>
        <v>0.3558075215438547</v>
      </c>
    </row>
    <row r="38" spans="1:16" x14ac:dyDescent="0.35">
      <c r="A38" t="s">
        <v>1384</v>
      </c>
      <c r="B38" s="5" t="s">
        <v>383</v>
      </c>
      <c r="C38" s="5" t="s">
        <v>382</v>
      </c>
      <c r="D38" s="5" t="str">
        <f>"Q"&amp;ROUNDUP(MONTH(B38)/3,0)</f>
        <v>Q3</v>
      </c>
      <c r="E38" t="s">
        <v>23</v>
      </c>
      <c r="F38" t="s">
        <v>11</v>
      </c>
      <c r="G38" t="s">
        <v>264</v>
      </c>
      <c r="H38" t="s">
        <v>50</v>
      </c>
      <c r="I38" t="s">
        <v>49</v>
      </c>
      <c r="J38" s="4">
        <v>1</v>
      </c>
      <c r="K38" s="3">
        <v>4935.71</v>
      </c>
      <c r="L38">
        <v>20</v>
      </c>
      <c r="M38" s="2">
        <v>3948.57</v>
      </c>
      <c r="N38" s="2">
        <v>2432.62</v>
      </c>
      <c r="O38" s="2">
        <v>1515.95</v>
      </c>
      <c r="P38" s="1">
        <f>(Sales_Data[[#This Row],[Profit]]/Sales_Data[[#This Row],[Revenue]])</f>
        <v>0.38392380026186695</v>
      </c>
    </row>
    <row r="39" spans="1:16" x14ac:dyDescent="0.35">
      <c r="A39" t="s">
        <v>1383</v>
      </c>
      <c r="B39" s="5" t="s">
        <v>692</v>
      </c>
      <c r="C39" s="5" t="s">
        <v>382</v>
      </c>
      <c r="D39" s="5" t="str">
        <f>"Q"&amp;ROUNDUP(MONTH(B39)/3,0)</f>
        <v>Q3</v>
      </c>
      <c r="E39" t="s">
        <v>16</v>
      </c>
      <c r="F39" t="s">
        <v>56</v>
      </c>
      <c r="G39" t="s">
        <v>42</v>
      </c>
      <c r="H39" t="s">
        <v>50</v>
      </c>
      <c r="I39" t="s">
        <v>49</v>
      </c>
      <c r="J39" s="4">
        <v>1</v>
      </c>
      <c r="K39" s="3">
        <v>4153.67</v>
      </c>
      <c r="L39">
        <v>20</v>
      </c>
      <c r="M39" s="2">
        <v>3322.94</v>
      </c>
      <c r="N39" s="2">
        <v>2117.48</v>
      </c>
      <c r="O39" s="2">
        <v>1205.46</v>
      </c>
      <c r="P39" s="1">
        <f>(Sales_Data[[#This Row],[Profit]]/Sales_Data[[#This Row],[Revenue]])</f>
        <v>0.36276911409775681</v>
      </c>
    </row>
    <row r="40" spans="1:16" x14ac:dyDescent="0.35">
      <c r="A40" t="s">
        <v>1382</v>
      </c>
      <c r="B40" s="5" t="s">
        <v>675</v>
      </c>
      <c r="C40" s="5" t="s">
        <v>382</v>
      </c>
      <c r="D40" s="5" t="str">
        <f>"Q"&amp;ROUNDUP(MONTH(B40)/3,0)</f>
        <v>Q3</v>
      </c>
      <c r="E40" t="s">
        <v>36</v>
      </c>
      <c r="F40" t="s">
        <v>56</v>
      </c>
      <c r="G40" t="s">
        <v>142</v>
      </c>
      <c r="H40" t="s">
        <v>59</v>
      </c>
      <c r="I40" t="s">
        <v>0</v>
      </c>
      <c r="J40" s="4">
        <v>3</v>
      </c>
      <c r="K40" s="3">
        <v>1510.65</v>
      </c>
      <c r="L40">
        <v>20</v>
      </c>
      <c r="M40" s="2">
        <v>3625.56</v>
      </c>
      <c r="N40" s="2">
        <v>2788.08</v>
      </c>
      <c r="O40" s="2">
        <v>837.48</v>
      </c>
      <c r="P40" s="1">
        <f>(Sales_Data[[#This Row],[Profit]]/Sales_Data[[#This Row],[Revenue]])</f>
        <v>0.23099328103796379</v>
      </c>
    </row>
    <row r="41" spans="1:16" x14ac:dyDescent="0.35">
      <c r="A41" t="s">
        <v>1381</v>
      </c>
      <c r="B41" s="5" t="s">
        <v>359</v>
      </c>
      <c r="C41" s="5" t="s">
        <v>350</v>
      </c>
      <c r="D41" s="5" t="str">
        <f>"Q"&amp;ROUNDUP(MONTH(B41)/3,0)</f>
        <v>Q4</v>
      </c>
      <c r="E41" t="s">
        <v>16</v>
      </c>
      <c r="F41" t="s">
        <v>11</v>
      </c>
      <c r="G41" t="s">
        <v>55</v>
      </c>
      <c r="H41" t="s">
        <v>111</v>
      </c>
      <c r="I41" t="s">
        <v>49</v>
      </c>
      <c r="J41" s="4">
        <v>6</v>
      </c>
      <c r="K41" s="3">
        <v>7434.19</v>
      </c>
      <c r="L41">
        <v>20</v>
      </c>
      <c r="M41" s="2">
        <v>35684.11</v>
      </c>
      <c r="N41" s="2">
        <v>29211.69</v>
      </c>
      <c r="O41" s="2">
        <v>6472.42</v>
      </c>
      <c r="P41" s="1">
        <f>(Sales_Data[[#This Row],[Profit]]/Sales_Data[[#This Row],[Revenue]])</f>
        <v>0.18138101244503504</v>
      </c>
    </row>
    <row r="42" spans="1:16" x14ac:dyDescent="0.35">
      <c r="A42" t="s">
        <v>1380</v>
      </c>
      <c r="B42" s="5" t="s">
        <v>648</v>
      </c>
      <c r="C42" s="5" t="s">
        <v>350</v>
      </c>
      <c r="D42" s="5" t="str">
        <f>"Q"&amp;ROUNDUP(MONTH(B42)/3,0)</f>
        <v>Q4</v>
      </c>
      <c r="E42" t="s">
        <v>16</v>
      </c>
      <c r="F42" t="s">
        <v>52</v>
      </c>
      <c r="G42" t="s">
        <v>92</v>
      </c>
      <c r="H42" t="s">
        <v>9</v>
      </c>
      <c r="I42" t="s">
        <v>8</v>
      </c>
      <c r="J42" s="4">
        <v>6</v>
      </c>
      <c r="K42" s="3">
        <v>54884.09</v>
      </c>
      <c r="L42">
        <v>20</v>
      </c>
      <c r="M42" s="2">
        <v>263443.63</v>
      </c>
      <c r="N42" s="2">
        <v>184309.81</v>
      </c>
      <c r="O42" s="2">
        <v>79133.820000000007</v>
      </c>
      <c r="P42" s="1">
        <f>(Sales_Data[[#This Row],[Profit]]/Sales_Data[[#This Row],[Revenue]])</f>
        <v>0.30038236263294732</v>
      </c>
    </row>
    <row r="43" spans="1:16" x14ac:dyDescent="0.35">
      <c r="A43" t="s">
        <v>1379</v>
      </c>
      <c r="B43" s="5" t="s">
        <v>1147</v>
      </c>
      <c r="C43" s="5" t="s">
        <v>350</v>
      </c>
      <c r="D43" s="5" t="str">
        <f>"Q"&amp;ROUNDUP(MONTH(B43)/3,0)</f>
        <v>Q4</v>
      </c>
      <c r="E43" t="s">
        <v>16</v>
      </c>
      <c r="F43" t="s">
        <v>22</v>
      </c>
      <c r="G43" t="s">
        <v>220</v>
      </c>
      <c r="H43" t="s">
        <v>111</v>
      </c>
      <c r="I43" t="s">
        <v>49</v>
      </c>
      <c r="J43" s="4">
        <v>8</v>
      </c>
      <c r="K43" s="3">
        <v>7788.16</v>
      </c>
      <c r="L43">
        <v>20</v>
      </c>
      <c r="M43" s="2">
        <v>49844.22</v>
      </c>
      <c r="N43" s="2">
        <v>35287.4</v>
      </c>
      <c r="O43" s="2">
        <v>14556.82</v>
      </c>
      <c r="P43" s="1">
        <f>(Sales_Data[[#This Row],[Profit]]/Sales_Data[[#This Row],[Revenue]])</f>
        <v>0.2920462994505682</v>
      </c>
    </row>
    <row r="44" spans="1:16" x14ac:dyDescent="0.35">
      <c r="A44" t="s">
        <v>1378</v>
      </c>
      <c r="B44" s="5" t="s">
        <v>1137</v>
      </c>
      <c r="C44" s="5" t="s">
        <v>350</v>
      </c>
      <c r="D44" s="5" t="str">
        <f>"Q"&amp;ROUNDUP(MONTH(B44)/3,0)</f>
        <v>Q4</v>
      </c>
      <c r="E44" t="s">
        <v>36</v>
      </c>
      <c r="F44" t="s">
        <v>11</v>
      </c>
      <c r="G44" t="s">
        <v>39</v>
      </c>
      <c r="H44" t="s">
        <v>50</v>
      </c>
      <c r="I44" t="s">
        <v>49</v>
      </c>
      <c r="J44" s="4">
        <v>4</v>
      </c>
      <c r="K44" s="3">
        <v>4097.71</v>
      </c>
      <c r="L44">
        <v>20</v>
      </c>
      <c r="M44" s="2">
        <v>13112.67</v>
      </c>
      <c r="N44" s="2">
        <v>9895.61</v>
      </c>
      <c r="O44" s="2">
        <v>3217.06</v>
      </c>
      <c r="P44" s="1">
        <f>(Sales_Data[[#This Row],[Profit]]/Sales_Data[[#This Row],[Revenue]])</f>
        <v>0.24533981256296392</v>
      </c>
    </row>
    <row r="45" spans="1:16" x14ac:dyDescent="0.35">
      <c r="A45" t="s">
        <v>1377</v>
      </c>
      <c r="B45" s="5" t="s">
        <v>1363</v>
      </c>
      <c r="C45" s="5" t="s">
        <v>350</v>
      </c>
      <c r="D45" s="5" t="str">
        <f>"Q"&amp;ROUNDUP(MONTH(B45)/3,0)</f>
        <v>Q4</v>
      </c>
      <c r="E45" t="s">
        <v>23</v>
      </c>
      <c r="F45" t="s">
        <v>11</v>
      </c>
      <c r="G45" t="s">
        <v>166</v>
      </c>
      <c r="H45" t="s">
        <v>34</v>
      </c>
      <c r="I45" t="s">
        <v>8</v>
      </c>
      <c r="J45" s="4">
        <v>6</v>
      </c>
      <c r="K45" s="3">
        <v>23965.27</v>
      </c>
      <c r="L45">
        <v>20</v>
      </c>
      <c r="M45" s="2">
        <v>115033.3</v>
      </c>
      <c r="N45" s="2">
        <v>67763.83</v>
      </c>
      <c r="O45" s="2">
        <v>47269.47</v>
      </c>
      <c r="P45" s="1">
        <f>(Sales_Data[[#This Row],[Profit]]/Sales_Data[[#This Row],[Revenue]])</f>
        <v>0.41091988146041192</v>
      </c>
    </row>
    <row r="46" spans="1:16" x14ac:dyDescent="0.35">
      <c r="A46" t="s">
        <v>1376</v>
      </c>
      <c r="B46" s="5" t="s">
        <v>361</v>
      </c>
      <c r="C46" s="5" t="s">
        <v>350</v>
      </c>
      <c r="D46" s="5" t="str">
        <f>"Q"&amp;ROUNDUP(MONTH(B46)/3,0)</f>
        <v>Q4</v>
      </c>
      <c r="E46" t="s">
        <v>36</v>
      </c>
      <c r="F46" t="s">
        <v>11</v>
      </c>
      <c r="G46" t="s">
        <v>124</v>
      </c>
      <c r="H46" t="s">
        <v>45</v>
      </c>
      <c r="I46" t="s">
        <v>8</v>
      </c>
      <c r="J46" s="4">
        <v>3</v>
      </c>
      <c r="K46" s="3">
        <v>914.7</v>
      </c>
      <c r="L46">
        <v>20</v>
      </c>
      <c r="M46" s="2">
        <v>2195.2800000000002</v>
      </c>
      <c r="N46" s="2">
        <v>1702.83</v>
      </c>
      <c r="O46" s="2">
        <v>492.45</v>
      </c>
      <c r="P46" s="1">
        <f>(Sales_Data[[#This Row],[Profit]]/Sales_Data[[#This Row],[Revenue]])</f>
        <v>0.22432218213621949</v>
      </c>
    </row>
    <row r="47" spans="1:16" x14ac:dyDescent="0.35">
      <c r="A47" t="s">
        <v>1375</v>
      </c>
      <c r="B47" s="5" t="s">
        <v>353</v>
      </c>
      <c r="C47" s="5" t="s">
        <v>350</v>
      </c>
      <c r="D47" s="5" t="str">
        <f>"Q"&amp;ROUNDUP(MONTH(B47)/3,0)</f>
        <v>Q4</v>
      </c>
      <c r="E47" t="s">
        <v>23</v>
      </c>
      <c r="F47" t="s">
        <v>11</v>
      </c>
      <c r="G47" t="s">
        <v>79</v>
      </c>
      <c r="H47" t="s">
        <v>78</v>
      </c>
      <c r="I47" t="s">
        <v>19</v>
      </c>
      <c r="J47" s="4">
        <v>3</v>
      </c>
      <c r="K47" s="3">
        <v>108.84</v>
      </c>
      <c r="L47">
        <v>20</v>
      </c>
      <c r="M47" s="2">
        <v>261.22000000000003</v>
      </c>
      <c r="N47" s="2">
        <v>197.04</v>
      </c>
      <c r="O47" s="2">
        <v>64.180000000000007</v>
      </c>
      <c r="P47" s="1">
        <f>(Sales_Data[[#This Row],[Profit]]/Sales_Data[[#This Row],[Revenue]])</f>
        <v>0.24569328535334201</v>
      </c>
    </row>
    <row r="48" spans="1:16" x14ac:dyDescent="0.35">
      <c r="A48" t="s">
        <v>1374</v>
      </c>
      <c r="B48" s="5" t="s">
        <v>1137</v>
      </c>
      <c r="C48" s="5" t="s">
        <v>350</v>
      </c>
      <c r="D48" s="5" t="str">
        <f>"Q"&amp;ROUNDUP(MONTH(B48)/3,0)</f>
        <v>Q4</v>
      </c>
      <c r="E48" t="s">
        <v>23</v>
      </c>
      <c r="F48" t="s">
        <v>52</v>
      </c>
      <c r="G48" t="s">
        <v>60</v>
      </c>
      <c r="H48" t="s">
        <v>45</v>
      </c>
      <c r="I48" t="s">
        <v>8</v>
      </c>
      <c r="J48" s="4">
        <v>7</v>
      </c>
      <c r="K48" s="3">
        <v>841.76</v>
      </c>
      <c r="L48">
        <v>20</v>
      </c>
      <c r="M48" s="2">
        <v>4713.8599999999997</v>
      </c>
      <c r="N48" s="2">
        <v>2927.57</v>
      </c>
      <c r="O48" s="2">
        <v>1786.29</v>
      </c>
      <c r="P48" s="1">
        <f>(Sales_Data[[#This Row],[Profit]]/Sales_Data[[#This Row],[Revenue]])</f>
        <v>0.37894421981136478</v>
      </c>
    </row>
    <row r="49" spans="1:16" x14ac:dyDescent="0.35">
      <c r="A49" t="s">
        <v>1373</v>
      </c>
      <c r="B49" s="5" t="s">
        <v>1369</v>
      </c>
      <c r="C49" s="5" t="s">
        <v>350</v>
      </c>
      <c r="D49" s="5" t="str">
        <f>"Q"&amp;ROUNDUP(MONTH(B49)/3,0)</f>
        <v>Q4</v>
      </c>
      <c r="E49" t="s">
        <v>16</v>
      </c>
      <c r="F49" t="s">
        <v>56</v>
      </c>
      <c r="G49" t="s">
        <v>191</v>
      </c>
      <c r="H49" t="s">
        <v>111</v>
      </c>
      <c r="I49" t="s">
        <v>49</v>
      </c>
      <c r="J49" s="4">
        <v>5</v>
      </c>
      <c r="K49" s="3">
        <v>7259.65</v>
      </c>
      <c r="L49">
        <v>20</v>
      </c>
      <c r="M49" s="2">
        <v>29038.6</v>
      </c>
      <c r="N49" s="2">
        <v>21737.07</v>
      </c>
      <c r="O49" s="2">
        <v>7301.53</v>
      </c>
      <c r="P49" s="1">
        <f>(Sales_Data[[#This Row],[Profit]]/Sales_Data[[#This Row],[Revenue]])</f>
        <v>0.25144221828876046</v>
      </c>
    </row>
    <row r="50" spans="1:16" x14ac:dyDescent="0.35">
      <c r="A50" t="s">
        <v>1372</v>
      </c>
      <c r="B50" s="5" t="s">
        <v>659</v>
      </c>
      <c r="C50" s="5" t="s">
        <v>350</v>
      </c>
      <c r="D50" s="5" t="str">
        <f>"Q"&amp;ROUNDUP(MONTH(B50)/3,0)</f>
        <v>Q4</v>
      </c>
      <c r="E50" t="s">
        <v>16</v>
      </c>
      <c r="F50" t="s">
        <v>3</v>
      </c>
      <c r="G50" t="s">
        <v>71</v>
      </c>
      <c r="H50" t="s">
        <v>34</v>
      </c>
      <c r="I50" t="s">
        <v>8</v>
      </c>
      <c r="J50" s="4">
        <v>6</v>
      </c>
      <c r="K50" s="3">
        <v>25205.41</v>
      </c>
      <c r="L50">
        <v>20</v>
      </c>
      <c r="M50" s="2">
        <v>120985.97</v>
      </c>
      <c r="N50" s="2">
        <v>86073.96</v>
      </c>
      <c r="O50" s="2">
        <v>34912.01</v>
      </c>
      <c r="P50" s="1">
        <f>(Sales_Data[[#This Row],[Profit]]/Sales_Data[[#This Row],[Revenue]])</f>
        <v>0.28856246720177559</v>
      </c>
    </row>
    <row r="51" spans="1:16" x14ac:dyDescent="0.35">
      <c r="A51" t="s">
        <v>1371</v>
      </c>
      <c r="B51" s="5" t="s">
        <v>355</v>
      </c>
      <c r="C51" s="5" t="s">
        <v>350</v>
      </c>
      <c r="D51" s="5" t="str">
        <f>"Q"&amp;ROUNDUP(MONTH(B51)/3,0)</f>
        <v>Q4</v>
      </c>
      <c r="E51" t="s">
        <v>4</v>
      </c>
      <c r="F51" t="s">
        <v>11</v>
      </c>
      <c r="G51" t="s">
        <v>191</v>
      </c>
      <c r="H51" t="s">
        <v>1</v>
      </c>
      <c r="I51" t="s">
        <v>0</v>
      </c>
      <c r="J51" s="4">
        <v>2</v>
      </c>
      <c r="K51" s="3">
        <v>505.73</v>
      </c>
      <c r="L51">
        <v>20</v>
      </c>
      <c r="M51" s="2">
        <v>809.17</v>
      </c>
      <c r="N51" s="2">
        <v>607.17999999999995</v>
      </c>
      <c r="O51" s="2">
        <v>201.99</v>
      </c>
      <c r="P51" s="1">
        <f>(Sales_Data[[#This Row],[Profit]]/Sales_Data[[#This Row],[Revenue]])</f>
        <v>0.24962616013940211</v>
      </c>
    </row>
    <row r="52" spans="1:16" x14ac:dyDescent="0.35">
      <c r="A52" t="s">
        <v>1370</v>
      </c>
      <c r="B52" s="5" t="s">
        <v>1369</v>
      </c>
      <c r="C52" s="5" t="s">
        <v>350</v>
      </c>
      <c r="D52" s="5" t="str">
        <f>"Q"&amp;ROUNDUP(MONTH(B52)/3,0)</f>
        <v>Q4</v>
      </c>
      <c r="E52" t="s">
        <v>36</v>
      </c>
      <c r="F52" t="s">
        <v>3</v>
      </c>
      <c r="G52" t="s">
        <v>10</v>
      </c>
      <c r="H52" t="s">
        <v>9</v>
      </c>
      <c r="I52" t="s">
        <v>8</v>
      </c>
      <c r="J52" s="4">
        <v>4</v>
      </c>
      <c r="K52" s="3">
        <v>60797.2</v>
      </c>
      <c r="L52">
        <v>20</v>
      </c>
      <c r="M52" s="2">
        <v>194551.04000000001</v>
      </c>
      <c r="N52" s="2">
        <v>148923.76</v>
      </c>
      <c r="O52" s="2">
        <v>45627.28</v>
      </c>
      <c r="P52" s="1">
        <f>(Sales_Data[[#This Row],[Profit]]/Sales_Data[[#This Row],[Revenue]])</f>
        <v>0.23452601435592427</v>
      </c>
    </row>
    <row r="53" spans="1:16" x14ac:dyDescent="0.35">
      <c r="A53" t="s">
        <v>1368</v>
      </c>
      <c r="B53" s="5" t="s">
        <v>372</v>
      </c>
      <c r="C53" s="5" t="s">
        <v>350</v>
      </c>
      <c r="D53" s="5" t="str">
        <f>"Q"&amp;ROUNDUP(MONTH(B53)/3,0)</f>
        <v>Q4</v>
      </c>
      <c r="E53" t="s">
        <v>23</v>
      </c>
      <c r="F53" t="s">
        <v>56</v>
      </c>
      <c r="G53" t="s">
        <v>220</v>
      </c>
      <c r="H53" t="s">
        <v>14</v>
      </c>
      <c r="I53" t="s">
        <v>8</v>
      </c>
      <c r="J53" s="4">
        <v>3</v>
      </c>
      <c r="K53" s="3">
        <v>2517.87</v>
      </c>
      <c r="L53">
        <v>20</v>
      </c>
      <c r="M53" s="2">
        <v>6042.89</v>
      </c>
      <c r="N53" s="2">
        <v>3544.61</v>
      </c>
      <c r="O53" s="2">
        <v>2498.2800000000002</v>
      </c>
      <c r="P53" s="1">
        <f>(Sales_Data[[#This Row],[Profit]]/Sales_Data[[#This Row],[Revenue]])</f>
        <v>0.41342470241887574</v>
      </c>
    </row>
    <row r="54" spans="1:16" x14ac:dyDescent="0.35">
      <c r="A54" t="s">
        <v>1367</v>
      </c>
      <c r="B54" s="5" t="s">
        <v>365</v>
      </c>
      <c r="C54" s="5" t="s">
        <v>350</v>
      </c>
      <c r="D54" s="5" t="str">
        <f>"Q"&amp;ROUNDUP(MONTH(B54)/3,0)</f>
        <v>Q4</v>
      </c>
      <c r="E54" t="s">
        <v>16</v>
      </c>
      <c r="F54" t="s">
        <v>52</v>
      </c>
      <c r="G54" t="s">
        <v>294</v>
      </c>
      <c r="H54" t="s">
        <v>1</v>
      </c>
      <c r="I54" t="s">
        <v>0</v>
      </c>
      <c r="J54" s="4">
        <v>5</v>
      </c>
      <c r="K54" s="3">
        <v>478.4</v>
      </c>
      <c r="L54">
        <v>20</v>
      </c>
      <c r="M54" s="2">
        <v>1913.6</v>
      </c>
      <c r="N54" s="2">
        <v>1166.8900000000001</v>
      </c>
      <c r="O54" s="2">
        <v>746.71</v>
      </c>
      <c r="P54" s="1">
        <f>(Sales_Data[[#This Row],[Profit]]/Sales_Data[[#This Row],[Revenue]])</f>
        <v>0.39021216555183952</v>
      </c>
    </row>
    <row r="55" spans="1:16" x14ac:dyDescent="0.35">
      <c r="A55" t="s">
        <v>1366</v>
      </c>
      <c r="B55" s="5" t="s">
        <v>361</v>
      </c>
      <c r="C55" s="5" t="s">
        <v>350</v>
      </c>
      <c r="D55" s="5" t="str">
        <f>"Q"&amp;ROUNDUP(MONTH(B55)/3,0)</f>
        <v>Q4</v>
      </c>
      <c r="E55" t="s">
        <v>4</v>
      </c>
      <c r="F55" t="s">
        <v>56</v>
      </c>
      <c r="G55" t="s">
        <v>147</v>
      </c>
      <c r="H55" t="s">
        <v>45</v>
      </c>
      <c r="I55" t="s">
        <v>8</v>
      </c>
      <c r="J55" s="4">
        <v>6</v>
      </c>
      <c r="K55" s="3">
        <v>890.54</v>
      </c>
      <c r="L55">
        <v>20</v>
      </c>
      <c r="M55" s="2">
        <v>4274.59</v>
      </c>
      <c r="N55" s="2">
        <v>3300.26</v>
      </c>
      <c r="O55" s="2">
        <v>974.33</v>
      </c>
      <c r="P55" s="1">
        <f>(Sales_Data[[#This Row],[Profit]]/Sales_Data[[#This Row],[Revenue]])</f>
        <v>0.2279353107549496</v>
      </c>
    </row>
    <row r="56" spans="1:16" x14ac:dyDescent="0.35">
      <c r="A56" t="s">
        <v>1365</v>
      </c>
      <c r="B56" s="5" t="s">
        <v>351</v>
      </c>
      <c r="C56" s="5" t="s">
        <v>350</v>
      </c>
      <c r="D56" s="5" t="str">
        <f>"Q"&amp;ROUNDUP(MONTH(B56)/3,0)</f>
        <v>Q4</v>
      </c>
      <c r="E56" t="s">
        <v>16</v>
      </c>
      <c r="F56" t="s">
        <v>3</v>
      </c>
      <c r="G56" t="s">
        <v>39</v>
      </c>
      <c r="H56" t="s">
        <v>9</v>
      </c>
      <c r="I56" t="s">
        <v>8</v>
      </c>
      <c r="J56" s="4">
        <v>6</v>
      </c>
      <c r="K56" s="3">
        <v>57968.95</v>
      </c>
      <c r="L56">
        <v>20</v>
      </c>
      <c r="M56" s="2">
        <v>278250.96000000002</v>
      </c>
      <c r="N56" s="2">
        <v>222411.28</v>
      </c>
      <c r="O56" s="2">
        <v>55839.68</v>
      </c>
      <c r="P56" s="1">
        <f>(Sales_Data[[#This Row],[Profit]]/Sales_Data[[#This Row],[Revenue]])</f>
        <v>0.20068099675199683</v>
      </c>
    </row>
    <row r="57" spans="1:16" x14ac:dyDescent="0.35">
      <c r="A57" t="s">
        <v>1364</v>
      </c>
      <c r="B57" s="5" t="s">
        <v>1363</v>
      </c>
      <c r="C57" s="5" t="s">
        <v>350</v>
      </c>
      <c r="D57" s="5" t="str">
        <f>"Q"&amp;ROUNDUP(MONTH(B57)/3,0)</f>
        <v>Q4</v>
      </c>
      <c r="E57" t="s">
        <v>4</v>
      </c>
      <c r="F57" t="s">
        <v>52</v>
      </c>
      <c r="G57" t="s">
        <v>112</v>
      </c>
      <c r="H57" t="s">
        <v>78</v>
      </c>
      <c r="I57" t="s">
        <v>19</v>
      </c>
      <c r="J57" s="4">
        <v>8</v>
      </c>
      <c r="K57" s="3">
        <v>111.39</v>
      </c>
      <c r="L57">
        <v>20</v>
      </c>
      <c r="M57" s="2">
        <v>712.9</v>
      </c>
      <c r="N57" s="2">
        <v>540.37</v>
      </c>
      <c r="O57" s="2">
        <v>172.53</v>
      </c>
      <c r="P57" s="1">
        <f>(Sales_Data[[#This Row],[Profit]]/Sales_Data[[#This Row],[Revenue]])</f>
        <v>0.24201150231449012</v>
      </c>
    </row>
    <row r="58" spans="1:16" x14ac:dyDescent="0.35">
      <c r="A58" t="s">
        <v>1362</v>
      </c>
      <c r="B58" s="5" t="s">
        <v>1126</v>
      </c>
      <c r="C58" s="5" t="s">
        <v>350</v>
      </c>
      <c r="D58" s="5" t="str">
        <f>"Q"&amp;ROUNDUP(MONTH(B58)/3,0)</f>
        <v>Q4</v>
      </c>
      <c r="E58" t="s">
        <v>23</v>
      </c>
      <c r="F58" t="s">
        <v>52</v>
      </c>
      <c r="G58" t="s">
        <v>55</v>
      </c>
      <c r="H58" t="s">
        <v>9</v>
      </c>
      <c r="I58" t="s">
        <v>8</v>
      </c>
      <c r="J58" s="4">
        <v>7</v>
      </c>
      <c r="K58" s="3">
        <v>65108.13</v>
      </c>
      <c r="L58">
        <v>20</v>
      </c>
      <c r="M58" s="2">
        <v>364605.53</v>
      </c>
      <c r="N58" s="2">
        <v>274419.43</v>
      </c>
      <c r="O58" s="2">
        <v>90186.1</v>
      </c>
      <c r="P58" s="1">
        <f>(Sales_Data[[#This Row],[Profit]]/Sales_Data[[#This Row],[Revenue]])</f>
        <v>0.24735252918407463</v>
      </c>
    </row>
    <row r="59" spans="1:16" x14ac:dyDescent="0.35">
      <c r="A59" t="s">
        <v>1361</v>
      </c>
      <c r="B59" s="5" t="s">
        <v>363</v>
      </c>
      <c r="C59" s="5" t="s">
        <v>350</v>
      </c>
      <c r="D59" s="5" t="str">
        <f>"Q"&amp;ROUNDUP(MONTH(B59)/3,0)</f>
        <v>Q4</v>
      </c>
      <c r="E59" t="s">
        <v>36</v>
      </c>
      <c r="F59" t="s">
        <v>22</v>
      </c>
      <c r="G59" t="s">
        <v>51</v>
      </c>
      <c r="H59" t="s">
        <v>14</v>
      </c>
      <c r="I59" t="s">
        <v>8</v>
      </c>
      <c r="J59" s="4">
        <v>6</v>
      </c>
      <c r="K59" s="3">
        <v>2732.48</v>
      </c>
      <c r="L59">
        <v>20</v>
      </c>
      <c r="M59" s="2">
        <v>13115.9</v>
      </c>
      <c r="N59" s="2">
        <v>10312.75</v>
      </c>
      <c r="O59" s="2">
        <v>2803.15</v>
      </c>
      <c r="P59" s="1">
        <f>(Sales_Data[[#This Row],[Profit]]/Sales_Data[[#This Row],[Revenue]])</f>
        <v>0.21372151358275071</v>
      </c>
    </row>
    <row r="60" spans="1:16" x14ac:dyDescent="0.35">
      <c r="A60" t="s">
        <v>1360</v>
      </c>
      <c r="B60" s="5" t="s">
        <v>363</v>
      </c>
      <c r="C60" s="5" t="s">
        <v>350</v>
      </c>
      <c r="D60" s="5" t="str">
        <f>"Q"&amp;ROUNDUP(MONTH(B60)/3,0)</f>
        <v>Q4</v>
      </c>
      <c r="E60" t="s">
        <v>36</v>
      </c>
      <c r="F60" t="s">
        <v>52</v>
      </c>
      <c r="G60" t="s">
        <v>128</v>
      </c>
      <c r="H60" t="s">
        <v>111</v>
      </c>
      <c r="I60" t="s">
        <v>49</v>
      </c>
      <c r="J60" s="4">
        <v>8</v>
      </c>
      <c r="K60" s="3">
        <v>8737.9</v>
      </c>
      <c r="L60">
        <v>20</v>
      </c>
      <c r="M60" s="2">
        <v>55922.559999999998</v>
      </c>
      <c r="N60" s="2">
        <v>45385.7</v>
      </c>
      <c r="O60" s="2">
        <v>10536.86</v>
      </c>
      <c r="P60" s="1">
        <f>(Sales_Data[[#This Row],[Profit]]/Sales_Data[[#This Row],[Revenue]])</f>
        <v>0.18841877052838785</v>
      </c>
    </row>
    <row r="61" spans="1:16" x14ac:dyDescent="0.35">
      <c r="A61" t="s">
        <v>1359</v>
      </c>
      <c r="B61" s="5" t="s">
        <v>908</v>
      </c>
      <c r="C61" s="5" t="s">
        <v>350</v>
      </c>
      <c r="D61" s="5" t="str">
        <f>"Q"&amp;ROUNDUP(MONTH(B61)/3,0)</f>
        <v>Q4</v>
      </c>
      <c r="E61" t="s">
        <v>23</v>
      </c>
      <c r="F61" t="s">
        <v>63</v>
      </c>
      <c r="G61" t="s">
        <v>174</v>
      </c>
      <c r="H61" t="s">
        <v>34</v>
      </c>
      <c r="I61" t="s">
        <v>8</v>
      </c>
      <c r="J61" s="4">
        <v>6</v>
      </c>
      <c r="K61" s="3">
        <v>24900.81</v>
      </c>
      <c r="L61">
        <v>20</v>
      </c>
      <c r="M61" s="2">
        <v>119523.89</v>
      </c>
      <c r="N61" s="2">
        <v>78397.36</v>
      </c>
      <c r="O61" s="2">
        <v>41126.53</v>
      </c>
      <c r="P61" s="1">
        <f>(Sales_Data[[#This Row],[Profit]]/Sales_Data[[#This Row],[Revenue]])</f>
        <v>0.34408627430047667</v>
      </c>
    </row>
    <row r="62" spans="1:16" x14ac:dyDescent="0.35">
      <c r="A62" t="s">
        <v>1358</v>
      </c>
      <c r="B62" s="5" t="s">
        <v>322</v>
      </c>
      <c r="C62" s="5" t="s">
        <v>310</v>
      </c>
      <c r="D62" s="5" t="str">
        <f>"Q"&amp;ROUNDUP(MONTH(B62)/3,0)</f>
        <v>Q1</v>
      </c>
      <c r="E62" t="s">
        <v>4</v>
      </c>
      <c r="F62" t="s">
        <v>3</v>
      </c>
      <c r="G62" t="s">
        <v>75</v>
      </c>
      <c r="H62" t="s">
        <v>14</v>
      </c>
      <c r="I62" t="s">
        <v>8</v>
      </c>
      <c r="J62" s="4">
        <v>7</v>
      </c>
      <c r="K62" s="3">
        <v>2605.65</v>
      </c>
      <c r="L62">
        <v>20</v>
      </c>
      <c r="M62" s="2">
        <v>14591.64</v>
      </c>
      <c r="N62" s="2">
        <v>11623.26</v>
      </c>
      <c r="O62" s="2">
        <v>2968.38</v>
      </c>
      <c r="P62" s="1">
        <f>(Sales_Data[[#This Row],[Profit]]/Sales_Data[[#This Row],[Revenue]])</f>
        <v>0.20343018331044352</v>
      </c>
    </row>
    <row r="63" spans="1:16" x14ac:dyDescent="0.35">
      <c r="A63" t="s">
        <v>1357</v>
      </c>
      <c r="B63" s="5" t="s">
        <v>322</v>
      </c>
      <c r="C63" s="5" t="s">
        <v>310</v>
      </c>
      <c r="D63" s="5" t="str">
        <f>"Q"&amp;ROUNDUP(MONTH(B63)/3,0)</f>
        <v>Q1</v>
      </c>
      <c r="E63" t="s">
        <v>4</v>
      </c>
      <c r="F63" t="s">
        <v>3</v>
      </c>
      <c r="G63" t="s">
        <v>309</v>
      </c>
      <c r="H63" t="s">
        <v>20</v>
      </c>
      <c r="I63" t="s">
        <v>19</v>
      </c>
      <c r="J63" s="4">
        <v>4</v>
      </c>
      <c r="K63" s="3">
        <v>31.15</v>
      </c>
      <c r="L63">
        <v>20</v>
      </c>
      <c r="M63" s="2">
        <v>99.68</v>
      </c>
      <c r="N63" s="2">
        <v>69.67</v>
      </c>
      <c r="O63" s="2">
        <v>30.01</v>
      </c>
      <c r="P63" s="1">
        <f>(Sales_Data[[#This Row],[Profit]]/Sales_Data[[#This Row],[Revenue]])</f>
        <v>0.3010634028892456</v>
      </c>
    </row>
    <row r="64" spans="1:16" x14ac:dyDescent="0.35">
      <c r="A64" t="s">
        <v>1356</v>
      </c>
      <c r="B64" s="5" t="s">
        <v>1355</v>
      </c>
      <c r="C64" s="5" t="s">
        <v>310</v>
      </c>
      <c r="D64" s="5" t="str">
        <f>"Q"&amp;ROUNDUP(MONTH(B64)/3,0)</f>
        <v>Q1</v>
      </c>
      <c r="E64" t="s">
        <v>16</v>
      </c>
      <c r="F64" t="s">
        <v>11</v>
      </c>
      <c r="G64" t="s">
        <v>118</v>
      </c>
      <c r="H64" t="s">
        <v>9</v>
      </c>
      <c r="I64" t="s">
        <v>8</v>
      </c>
      <c r="J64" s="4">
        <v>2</v>
      </c>
      <c r="K64" s="3">
        <v>62992.5</v>
      </c>
      <c r="L64">
        <v>20</v>
      </c>
      <c r="M64" s="2">
        <v>100788</v>
      </c>
      <c r="N64" s="2">
        <v>85192.23</v>
      </c>
      <c r="O64" s="2">
        <v>15595.77</v>
      </c>
      <c r="P64" s="1">
        <f>(Sales_Data[[#This Row],[Profit]]/Sales_Data[[#This Row],[Revenue]])</f>
        <v>0.15473836170972735</v>
      </c>
    </row>
    <row r="65" spans="1:16" x14ac:dyDescent="0.35">
      <c r="A65" t="s">
        <v>1354</v>
      </c>
      <c r="B65" s="5" t="s">
        <v>338</v>
      </c>
      <c r="C65" s="5" t="s">
        <v>310</v>
      </c>
      <c r="D65" s="5" t="str">
        <f>"Q"&amp;ROUNDUP(MONTH(B65)/3,0)</f>
        <v>Q1</v>
      </c>
      <c r="E65" t="s">
        <v>36</v>
      </c>
      <c r="F65" t="s">
        <v>63</v>
      </c>
      <c r="G65" t="s">
        <v>108</v>
      </c>
      <c r="H65" t="s">
        <v>59</v>
      </c>
      <c r="I65" t="s">
        <v>0</v>
      </c>
      <c r="J65" s="4">
        <v>4</v>
      </c>
      <c r="K65" s="3">
        <v>1638.84</v>
      </c>
      <c r="L65">
        <v>20</v>
      </c>
      <c r="M65" s="2">
        <v>5244.29</v>
      </c>
      <c r="N65" s="2">
        <v>3528.36</v>
      </c>
      <c r="O65" s="2">
        <v>1715.93</v>
      </c>
      <c r="P65" s="1">
        <f>(Sales_Data[[#This Row],[Profit]]/Sales_Data[[#This Row],[Revenue]])</f>
        <v>0.32719967812611433</v>
      </c>
    </row>
    <row r="66" spans="1:16" x14ac:dyDescent="0.35">
      <c r="A66" t="s">
        <v>1353</v>
      </c>
      <c r="B66" s="5" t="s">
        <v>329</v>
      </c>
      <c r="C66" s="5" t="s">
        <v>310</v>
      </c>
      <c r="D66" s="5" t="str">
        <f>"Q"&amp;ROUNDUP(MONTH(B66)/3,0)</f>
        <v>Q1</v>
      </c>
      <c r="E66" t="s">
        <v>4</v>
      </c>
      <c r="F66" t="s">
        <v>56</v>
      </c>
      <c r="G66" t="s">
        <v>95</v>
      </c>
      <c r="H66" t="s">
        <v>1</v>
      </c>
      <c r="I66" t="s">
        <v>0</v>
      </c>
      <c r="J66" s="4">
        <v>1</v>
      </c>
      <c r="K66" s="3">
        <v>514.02</v>
      </c>
      <c r="L66">
        <v>20</v>
      </c>
      <c r="M66" s="2">
        <v>411.22</v>
      </c>
      <c r="N66" s="2">
        <v>240.16</v>
      </c>
      <c r="O66" s="2">
        <v>171.06</v>
      </c>
      <c r="P66" s="1">
        <f>(Sales_Data[[#This Row],[Profit]]/Sales_Data[[#This Row],[Revenue]])</f>
        <v>0.41598171295170466</v>
      </c>
    </row>
    <row r="67" spans="1:16" x14ac:dyDescent="0.35">
      <c r="A67" t="s">
        <v>1352</v>
      </c>
      <c r="B67" s="5" t="s">
        <v>335</v>
      </c>
      <c r="C67" s="5" t="s">
        <v>310</v>
      </c>
      <c r="D67" s="5" t="str">
        <f>"Q"&amp;ROUNDUP(MONTH(B67)/3,0)</f>
        <v>Q1</v>
      </c>
      <c r="E67" t="s">
        <v>23</v>
      </c>
      <c r="F67" t="s">
        <v>56</v>
      </c>
      <c r="G67" t="s">
        <v>68</v>
      </c>
      <c r="H67" t="s">
        <v>20</v>
      </c>
      <c r="I67" t="s">
        <v>19</v>
      </c>
      <c r="J67" s="4">
        <v>3</v>
      </c>
      <c r="K67" s="3">
        <v>31.96</v>
      </c>
      <c r="L67">
        <v>20</v>
      </c>
      <c r="M67" s="2">
        <v>76.7</v>
      </c>
      <c r="N67" s="2">
        <v>61.54</v>
      </c>
      <c r="O67" s="2">
        <v>15.16</v>
      </c>
      <c r="P67" s="1">
        <f>(Sales_Data[[#This Row],[Profit]]/Sales_Data[[#This Row],[Revenue]])</f>
        <v>0.19765319426336375</v>
      </c>
    </row>
    <row r="68" spans="1:16" x14ac:dyDescent="0.35">
      <c r="A68" t="s">
        <v>1351</v>
      </c>
      <c r="B68" s="5" t="s">
        <v>633</v>
      </c>
      <c r="C68" s="5" t="s">
        <v>310</v>
      </c>
      <c r="D68" s="5" t="str">
        <f>"Q"&amp;ROUNDUP(MONTH(B68)/3,0)</f>
        <v>Q1</v>
      </c>
      <c r="E68" t="s">
        <v>4</v>
      </c>
      <c r="F68" t="s">
        <v>56</v>
      </c>
      <c r="G68" t="s">
        <v>29</v>
      </c>
      <c r="H68" t="s">
        <v>45</v>
      </c>
      <c r="I68" t="s">
        <v>8</v>
      </c>
      <c r="J68" s="4">
        <v>7</v>
      </c>
      <c r="K68" s="3">
        <v>989.47</v>
      </c>
      <c r="L68">
        <v>20</v>
      </c>
      <c r="M68" s="2">
        <v>5541.03</v>
      </c>
      <c r="N68" s="2">
        <v>4361.01</v>
      </c>
      <c r="O68" s="2">
        <v>1180.02</v>
      </c>
      <c r="P68" s="1">
        <f>(Sales_Data[[#This Row],[Profit]]/Sales_Data[[#This Row],[Revenue]])</f>
        <v>0.21296040627825513</v>
      </c>
    </row>
    <row r="69" spans="1:16" x14ac:dyDescent="0.35">
      <c r="A69" t="s">
        <v>1350</v>
      </c>
      <c r="B69" s="5" t="s">
        <v>348</v>
      </c>
      <c r="C69" s="5" t="s">
        <v>310</v>
      </c>
      <c r="D69" s="5" t="str">
        <f>"Q"&amp;ROUNDUP(MONTH(B69)/3,0)</f>
        <v>Q1</v>
      </c>
      <c r="E69" t="s">
        <v>36</v>
      </c>
      <c r="F69" t="s">
        <v>52</v>
      </c>
      <c r="G69" t="s">
        <v>26</v>
      </c>
      <c r="H69" t="s">
        <v>9</v>
      </c>
      <c r="I69" t="s">
        <v>8</v>
      </c>
      <c r="J69" s="4">
        <v>6</v>
      </c>
      <c r="K69" s="3">
        <v>61182.95</v>
      </c>
      <c r="L69">
        <v>20</v>
      </c>
      <c r="M69" s="2">
        <v>293678.15999999997</v>
      </c>
      <c r="N69" s="2">
        <v>163846.57</v>
      </c>
      <c r="O69" s="2">
        <v>129831.59</v>
      </c>
      <c r="P69" s="1">
        <f>(Sales_Data[[#This Row],[Profit]]/Sales_Data[[#This Row],[Revenue]])</f>
        <v>0.44208799864450254</v>
      </c>
    </row>
    <row r="70" spans="1:16" x14ac:dyDescent="0.35">
      <c r="A70" t="s">
        <v>1349</v>
      </c>
      <c r="B70" s="5" t="s">
        <v>1348</v>
      </c>
      <c r="C70" s="5" t="s">
        <v>310</v>
      </c>
      <c r="D70" s="5" t="str">
        <f>"Q"&amp;ROUNDUP(MONTH(B70)/3,0)</f>
        <v>Q1</v>
      </c>
      <c r="E70" t="s">
        <v>16</v>
      </c>
      <c r="F70" t="s">
        <v>11</v>
      </c>
      <c r="G70" t="s">
        <v>169</v>
      </c>
      <c r="H70" t="s">
        <v>9</v>
      </c>
      <c r="I70" t="s">
        <v>8</v>
      </c>
      <c r="J70" s="4">
        <v>5</v>
      </c>
      <c r="K70" s="3">
        <v>55946.61</v>
      </c>
      <c r="L70">
        <v>20</v>
      </c>
      <c r="M70" s="2">
        <v>223786.44</v>
      </c>
      <c r="N70" s="2">
        <v>141933.41</v>
      </c>
      <c r="O70" s="2">
        <v>81853.03</v>
      </c>
      <c r="P70" s="1">
        <f>(Sales_Data[[#This Row],[Profit]]/Sales_Data[[#This Row],[Revenue]])</f>
        <v>0.36576402931294677</v>
      </c>
    </row>
    <row r="71" spans="1:16" x14ac:dyDescent="0.35">
      <c r="A71" t="s">
        <v>1347</v>
      </c>
      <c r="B71" s="5" t="s">
        <v>313</v>
      </c>
      <c r="C71" s="5" t="s">
        <v>310</v>
      </c>
      <c r="D71" s="5" t="str">
        <f>"Q"&amp;ROUNDUP(MONTH(B71)/3,0)</f>
        <v>Q1</v>
      </c>
      <c r="E71" t="s">
        <v>4</v>
      </c>
      <c r="F71" t="s">
        <v>3</v>
      </c>
      <c r="G71" t="s">
        <v>79</v>
      </c>
      <c r="H71" t="s">
        <v>45</v>
      </c>
      <c r="I71" t="s">
        <v>8</v>
      </c>
      <c r="J71" s="4">
        <v>8</v>
      </c>
      <c r="K71" s="3">
        <v>830.02</v>
      </c>
      <c r="L71">
        <v>20</v>
      </c>
      <c r="M71" s="2">
        <v>5312.13</v>
      </c>
      <c r="N71" s="2">
        <v>4505.13</v>
      </c>
      <c r="O71" s="2">
        <v>807</v>
      </c>
      <c r="P71" s="1">
        <f>(Sales_Data[[#This Row],[Profit]]/Sales_Data[[#This Row],[Revenue]])</f>
        <v>0.15191646288776817</v>
      </c>
    </row>
    <row r="72" spans="1:16" x14ac:dyDescent="0.35">
      <c r="A72" t="s">
        <v>1346</v>
      </c>
      <c r="B72" s="5" t="s">
        <v>338</v>
      </c>
      <c r="C72" s="5" t="s">
        <v>310</v>
      </c>
      <c r="D72" s="5" t="str">
        <f>"Q"&amp;ROUNDUP(MONTH(B72)/3,0)</f>
        <v>Q1</v>
      </c>
      <c r="E72" t="s">
        <v>4</v>
      </c>
      <c r="F72" t="s">
        <v>3</v>
      </c>
      <c r="G72" t="s">
        <v>142</v>
      </c>
      <c r="H72" t="s">
        <v>20</v>
      </c>
      <c r="I72" t="s">
        <v>19</v>
      </c>
      <c r="J72" s="4">
        <v>4</v>
      </c>
      <c r="K72" s="3">
        <v>29.38</v>
      </c>
      <c r="L72">
        <v>20</v>
      </c>
      <c r="M72" s="2">
        <v>94.02</v>
      </c>
      <c r="N72" s="2">
        <v>66.31</v>
      </c>
      <c r="O72" s="2">
        <v>27.71</v>
      </c>
      <c r="P72" s="1">
        <f>(Sales_Data[[#This Row],[Profit]]/Sales_Data[[#This Row],[Revenue]])</f>
        <v>0.29472452669644761</v>
      </c>
    </row>
    <row r="73" spans="1:16" x14ac:dyDescent="0.35">
      <c r="A73" t="s">
        <v>1345</v>
      </c>
      <c r="B73" s="5" t="s">
        <v>290</v>
      </c>
      <c r="C73" s="5" t="s">
        <v>275</v>
      </c>
      <c r="D73" s="5" t="str">
        <f>"Q"&amp;ROUNDUP(MONTH(B73)/3,0)</f>
        <v>Q1</v>
      </c>
      <c r="E73" t="s">
        <v>4</v>
      </c>
      <c r="F73" t="s">
        <v>56</v>
      </c>
      <c r="G73" t="s">
        <v>66</v>
      </c>
      <c r="H73" t="s">
        <v>78</v>
      </c>
      <c r="I73" t="s">
        <v>19</v>
      </c>
      <c r="J73" s="4">
        <v>7</v>
      </c>
      <c r="K73" s="3">
        <v>117.57</v>
      </c>
      <c r="L73">
        <v>20</v>
      </c>
      <c r="M73" s="2">
        <v>658.39</v>
      </c>
      <c r="N73" s="2">
        <v>415.02</v>
      </c>
      <c r="O73" s="2">
        <v>243.37</v>
      </c>
      <c r="P73" s="1">
        <f>(Sales_Data[[#This Row],[Profit]]/Sales_Data[[#This Row],[Revenue]])</f>
        <v>0.36964413189750756</v>
      </c>
    </row>
    <row r="74" spans="1:16" x14ac:dyDescent="0.35">
      <c r="A74" t="s">
        <v>1344</v>
      </c>
      <c r="B74" s="5" t="s">
        <v>297</v>
      </c>
      <c r="C74" s="5" t="s">
        <v>275</v>
      </c>
      <c r="D74" s="5" t="str">
        <f>"Q"&amp;ROUNDUP(MONTH(B74)/3,0)</f>
        <v>Q1</v>
      </c>
      <c r="E74" t="s">
        <v>4</v>
      </c>
      <c r="F74" t="s">
        <v>63</v>
      </c>
      <c r="G74" t="s">
        <v>79</v>
      </c>
      <c r="H74" t="s">
        <v>45</v>
      </c>
      <c r="I74" t="s">
        <v>8</v>
      </c>
      <c r="J74" s="4">
        <v>2</v>
      </c>
      <c r="K74" s="3">
        <v>815.9</v>
      </c>
      <c r="L74">
        <v>20</v>
      </c>
      <c r="M74" s="2">
        <v>1305.44</v>
      </c>
      <c r="N74" s="2">
        <v>1025.42</v>
      </c>
      <c r="O74" s="2">
        <v>280.02</v>
      </c>
      <c r="P74" s="1">
        <f>(Sales_Data[[#This Row],[Profit]]/Sales_Data[[#This Row],[Revenue]])</f>
        <v>0.21450238999877433</v>
      </c>
    </row>
    <row r="75" spans="1:16" x14ac:dyDescent="0.35">
      <c r="A75" t="s">
        <v>1343</v>
      </c>
      <c r="B75" s="5" t="s">
        <v>286</v>
      </c>
      <c r="C75" s="5" t="s">
        <v>275</v>
      </c>
      <c r="D75" s="5" t="str">
        <f>"Q"&amp;ROUNDUP(MONTH(B75)/3,0)</f>
        <v>Q1</v>
      </c>
      <c r="E75" t="s">
        <v>23</v>
      </c>
      <c r="F75" t="s">
        <v>22</v>
      </c>
      <c r="G75" t="s">
        <v>231</v>
      </c>
      <c r="H75" t="s">
        <v>78</v>
      </c>
      <c r="I75" t="s">
        <v>19</v>
      </c>
      <c r="J75" s="4">
        <v>1</v>
      </c>
      <c r="K75" s="3">
        <v>128.38999999999999</v>
      </c>
      <c r="L75">
        <v>20</v>
      </c>
      <c r="M75" s="2">
        <v>102.71</v>
      </c>
      <c r="N75" s="2">
        <v>65.760000000000005</v>
      </c>
      <c r="O75" s="2">
        <v>36.950000000000003</v>
      </c>
      <c r="P75" s="1">
        <f>(Sales_Data[[#This Row],[Profit]]/Sales_Data[[#This Row],[Revenue]])</f>
        <v>0.35975075455165034</v>
      </c>
    </row>
    <row r="76" spans="1:16" x14ac:dyDescent="0.35">
      <c r="A76" t="s">
        <v>1342</v>
      </c>
      <c r="B76" s="5" t="s">
        <v>1341</v>
      </c>
      <c r="C76" s="5" t="s">
        <v>275</v>
      </c>
      <c r="D76" s="5" t="str">
        <f>"Q"&amp;ROUNDUP(MONTH(B76)/3,0)</f>
        <v>Q1</v>
      </c>
      <c r="E76" t="s">
        <v>23</v>
      </c>
      <c r="F76" t="s">
        <v>11</v>
      </c>
      <c r="G76" t="s">
        <v>85</v>
      </c>
      <c r="H76" t="s">
        <v>14</v>
      </c>
      <c r="I76" t="s">
        <v>8</v>
      </c>
      <c r="J76" s="4">
        <v>5</v>
      </c>
      <c r="K76" s="3">
        <v>2307.79</v>
      </c>
      <c r="L76">
        <v>20</v>
      </c>
      <c r="M76" s="2">
        <v>9231.16</v>
      </c>
      <c r="N76" s="2">
        <v>6628.32</v>
      </c>
      <c r="O76" s="2">
        <v>2602.84</v>
      </c>
      <c r="P76" s="1">
        <f>(Sales_Data[[#This Row],[Profit]]/Sales_Data[[#This Row],[Revenue]])</f>
        <v>0.28196239692519687</v>
      </c>
    </row>
    <row r="77" spans="1:16" x14ac:dyDescent="0.35">
      <c r="A77" t="s">
        <v>1340</v>
      </c>
      <c r="B77" s="5" t="s">
        <v>297</v>
      </c>
      <c r="C77" s="5" t="s">
        <v>275</v>
      </c>
      <c r="D77" s="5" t="str">
        <f>"Q"&amp;ROUNDUP(MONTH(B77)/3,0)</f>
        <v>Q1</v>
      </c>
      <c r="E77" t="s">
        <v>23</v>
      </c>
      <c r="F77" t="s">
        <v>11</v>
      </c>
      <c r="G77" t="s">
        <v>124</v>
      </c>
      <c r="H77" t="s">
        <v>1</v>
      </c>
      <c r="I77" t="s">
        <v>0</v>
      </c>
      <c r="J77" s="4">
        <v>6</v>
      </c>
      <c r="K77" s="3">
        <v>460.28</v>
      </c>
      <c r="L77">
        <v>20</v>
      </c>
      <c r="M77" s="2">
        <v>2209.34</v>
      </c>
      <c r="N77" s="2">
        <v>1507.85</v>
      </c>
      <c r="O77" s="2">
        <v>701.49</v>
      </c>
      <c r="P77" s="1">
        <f>(Sales_Data[[#This Row],[Profit]]/Sales_Data[[#This Row],[Revenue]])</f>
        <v>0.31751111191577575</v>
      </c>
    </row>
    <row r="78" spans="1:16" x14ac:dyDescent="0.35">
      <c r="A78" t="s">
        <v>1339</v>
      </c>
      <c r="B78" s="5" t="s">
        <v>295</v>
      </c>
      <c r="C78" s="5" t="s">
        <v>275</v>
      </c>
      <c r="D78" s="5" t="str">
        <f>"Q"&amp;ROUNDUP(MONTH(B78)/3,0)</f>
        <v>Q1</v>
      </c>
      <c r="E78" t="s">
        <v>4</v>
      </c>
      <c r="F78" t="s">
        <v>3</v>
      </c>
      <c r="G78" t="s">
        <v>51</v>
      </c>
      <c r="H78" t="s">
        <v>14</v>
      </c>
      <c r="I78" t="s">
        <v>8</v>
      </c>
      <c r="J78" s="4">
        <v>8</v>
      </c>
      <c r="K78" s="3">
        <v>2294.91</v>
      </c>
      <c r="L78">
        <v>20</v>
      </c>
      <c r="M78" s="2">
        <v>14687.42</v>
      </c>
      <c r="N78" s="2">
        <v>8752.5400000000009</v>
      </c>
      <c r="O78" s="2">
        <v>5934.88</v>
      </c>
      <c r="P78" s="1">
        <f>(Sales_Data[[#This Row],[Profit]]/Sales_Data[[#This Row],[Revenue]])</f>
        <v>0.40407913711189575</v>
      </c>
    </row>
    <row r="79" spans="1:16" x14ac:dyDescent="0.35">
      <c r="A79" t="s">
        <v>1338</v>
      </c>
      <c r="B79" s="5" t="s">
        <v>615</v>
      </c>
      <c r="C79" s="5" t="s">
        <v>275</v>
      </c>
      <c r="D79" s="5" t="str">
        <f>"Q"&amp;ROUNDUP(MONTH(B79)/3,0)</f>
        <v>Q1</v>
      </c>
      <c r="E79" t="s">
        <v>16</v>
      </c>
      <c r="F79" t="s">
        <v>56</v>
      </c>
      <c r="G79" t="s">
        <v>79</v>
      </c>
      <c r="H79" t="s">
        <v>20</v>
      </c>
      <c r="I79" t="s">
        <v>19</v>
      </c>
      <c r="J79" s="4">
        <v>4</v>
      </c>
      <c r="K79" s="3">
        <v>29.11</v>
      </c>
      <c r="L79">
        <v>20</v>
      </c>
      <c r="M79" s="2">
        <v>93.15</v>
      </c>
      <c r="N79" s="2">
        <v>60.1</v>
      </c>
      <c r="O79" s="2">
        <v>33.049999999999997</v>
      </c>
      <c r="P79" s="1">
        <f>(Sales_Data[[#This Row],[Profit]]/Sales_Data[[#This Row],[Revenue]])</f>
        <v>0.35480407944176057</v>
      </c>
    </row>
    <row r="80" spans="1:16" x14ac:dyDescent="0.35">
      <c r="A80" t="s">
        <v>1337</v>
      </c>
      <c r="B80" s="5" t="s">
        <v>295</v>
      </c>
      <c r="C80" s="5" t="s">
        <v>275</v>
      </c>
      <c r="D80" s="5" t="str">
        <f>"Q"&amp;ROUNDUP(MONTH(B80)/3,0)</f>
        <v>Q1</v>
      </c>
      <c r="E80" t="s">
        <v>23</v>
      </c>
      <c r="F80" t="s">
        <v>56</v>
      </c>
      <c r="G80" t="s">
        <v>31</v>
      </c>
      <c r="H80" t="s">
        <v>111</v>
      </c>
      <c r="I80" t="s">
        <v>49</v>
      </c>
      <c r="J80" s="4">
        <v>7</v>
      </c>
      <c r="K80" s="3">
        <v>8019.81</v>
      </c>
      <c r="L80">
        <v>20</v>
      </c>
      <c r="M80" s="2">
        <v>44910.94</v>
      </c>
      <c r="N80" s="2">
        <v>29119.62</v>
      </c>
      <c r="O80" s="2">
        <v>15791.32</v>
      </c>
      <c r="P80" s="1">
        <f>(Sales_Data[[#This Row],[Profit]]/Sales_Data[[#This Row],[Revenue]])</f>
        <v>0.35161410560544931</v>
      </c>
    </row>
    <row r="81" spans="1:16" x14ac:dyDescent="0.35">
      <c r="A81" t="s">
        <v>1336</v>
      </c>
      <c r="B81" s="5" t="s">
        <v>1098</v>
      </c>
      <c r="C81" s="5" t="s">
        <v>275</v>
      </c>
      <c r="D81" s="5" t="str">
        <f>"Q"&amp;ROUNDUP(MONTH(B81)/3,0)</f>
        <v>Q1</v>
      </c>
      <c r="E81" t="s">
        <v>16</v>
      </c>
      <c r="F81" t="s">
        <v>22</v>
      </c>
      <c r="G81" t="s">
        <v>66</v>
      </c>
      <c r="H81" t="s">
        <v>45</v>
      </c>
      <c r="I81" t="s">
        <v>8</v>
      </c>
      <c r="J81" s="4">
        <v>2</v>
      </c>
      <c r="K81" s="3">
        <v>984.04</v>
      </c>
      <c r="L81">
        <v>20</v>
      </c>
      <c r="M81" s="2">
        <v>1574.46</v>
      </c>
      <c r="N81" s="2">
        <v>893.33</v>
      </c>
      <c r="O81" s="2">
        <v>681.13</v>
      </c>
      <c r="P81" s="1">
        <f>(Sales_Data[[#This Row],[Profit]]/Sales_Data[[#This Row],[Revenue]])</f>
        <v>0.43261181611473137</v>
      </c>
    </row>
    <row r="82" spans="1:16" x14ac:dyDescent="0.35">
      <c r="A82" t="s">
        <v>1335</v>
      </c>
      <c r="B82" s="5" t="s">
        <v>286</v>
      </c>
      <c r="C82" s="5" t="s">
        <v>275</v>
      </c>
      <c r="D82" s="5" t="str">
        <f>"Q"&amp;ROUNDUP(MONTH(B82)/3,0)</f>
        <v>Q1</v>
      </c>
      <c r="E82" t="s">
        <v>36</v>
      </c>
      <c r="F82" t="s">
        <v>22</v>
      </c>
      <c r="G82" t="s">
        <v>369</v>
      </c>
      <c r="H82" t="s">
        <v>14</v>
      </c>
      <c r="I82" t="s">
        <v>8</v>
      </c>
      <c r="J82" s="4">
        <v>4</v>
      </c>
      <c r="K82" s="3">
        <v>2388.64</v>
      </c>
      <c r="L82">
        <v>20</v>
      </c>
      <c r="M82" s="2">
        <v>7643.65</v>
      </c>
      <c r="N82" s="2">
        <v>4317.91</v>
      </c>
      <c r="O82" s="2">
        <v>3325.74</v>
      </c>
      <c r="P82" s="1">
        <f>(Sales_Data[[#This Row],[Profit]]/Sales_Data[[#This Row],[Revenue]])</f>
        <v>0.4350984150242358</v>
      </c>
    </row>
    <row r="83" spans="1:16" x14ac:dyDescent="0.35">
      <c r="A83" t="s">
        <v>1334</v>
      </c>
      <c r="B83" s="5" t="s">
        <v>295</v>
      </c>
      <c r="C83" s="5" t="s">
        <v>275</v>
      </c>
      <c r="D83" s="5" t="str">
        <f>"Q"&amp;ROUNDUP(MONTH(B83)/3,0)</f>
        <v>Q1</v>
      </c>
      <c r="E83" t="s">
        <v>23</v>
      </c>
      <c r="F83" t="s">
        <v>63</v>
      </c>
      <c r="G83" t="s">
        <v>169</v>
      </c>
      <c r="H83" t="s">
        <v>59</v>
      </c>
      <c r="I83" t="s">
        <v>0</v>
      </c>
      <c r="J83" s="4">
        <v>8</v>
      </c>
      <c r="K83" s="3">
        <v>1628.72</v>
      </c>
      <c r="L83">
        <v>20</v>
      </c>
      <c r="M83" s="2">
        <v>10423.81</v>
      </c>
      <c r="N83" s="2">
        <v>7893.4</v>
      </c>
      <c r="O83" s="2">
        <v>2530.41</v>
      </c>
      <c r="P83" s="1">
        <f>(Sales_Data[[#This Row],[Profit]]/Sales_Data[[#This Row],[Revenue]])</f>
        <v>0.24275288977830561</v>
      </c>
    </row>
    <row r="84" spans="1:16" x14ac:dyDescent="0.35">
      <c r="A84" t="s">
        <v>1333</v>
      </c>
      <c r="B84" s="5" t="s">
        <v>617</v>
      </c>
      <c r="C84" s="5" t="s">
        <v>275</v>
      </c>
      <c r="D84" s="5" t="str">
        <f>"Q"&amp;ROUNDUP(MONTH(B84)/3,0)</f>
        <v>Q1</v>
      </c>
      <c r="E84" t="s">
        <v>36</v>
      </c>
      <c r="F84" t="s">
        <v>63</v>
      </c>
      <c r="G84" t="s">
        <v>2</v>
      </c>
      <c r="H84" t="s">
        <v>111</v>
      </c>
      <c r="I84" t="s">
        <v>49</v>
      </c>
      <c r="J84" s="4">
        <v>8</v>
      </c>
      <c r="K84" s="3">
        <v>8305.58</v>
      </c>
      <c r="L84">
        <v>20</v>
      </c>
      <c r="M84" s="2">
        <v>53155.71</v>
      </c>
      <c r="N84" s="2">
        <v>33519.65</v>
      </c>
      <c r="O84" s="2">
        <v>19636.060000000001</v>
      </c>
      <c r="P84" s="1">
        <f>(Sales_Data[[#This Row],[Profit]]/Sales_Data[[#This Row],[Revenue]])</f>
        <v>0.36940640996047275</v>
      </c>
    </row>
    <row r="85" spans="1:16" x14ac:dyDescent="0.35">
      <c r="A85" t="s">
        <v>1332</v>
      </c>
      <c r="B85" s="5" t="s">
        <v>284</v>
      </c>
      <c r="C85" s="5" t="s">
        <v>275</v>
      </c>
      <c r="D85" s="5" t="str">
        <f>"Q"&amp;ROUNDUP(MONTH(B85)/3,0)</f>
        <v>Q1</v>
      </c>
      <c r="E85" t="s">
        <v>23</v>
      </c>
      <c r="F85" t="s">
        <v>63</v>
      </c>
      <c r="G85" t="s">
        <v>159</v>
      </c>
      <c r="H85" t="s">
        <v>34</v>
      </c>
      <c r="I85" t="s">
        <v>8</v>
      </c>
      <c r="J85" s="4">
        <v>4</v>
      </c>
      <c r="K85" s="3">
        <v>27233.7</v>
      </c>
      <c r="L85">
        <v>20</v>
      </c>
      <c r="M85" s="2">
        <v>87147.839999999997</v>
      </c>
      <c r="N85" s="2">
        <v>60610.86</v>
      </c>
      <c r="O85" s="2">
        <v>26536.98</v>
      </c>
      <c r="P85" s="1">
        <f>(Sales_Data[[#This Row],[Profit]]/Sales_Data[[#This Row],[Revenue]])</f>
        <v>0.30450530959803479</v>
      </c>
    </row>
    <row r="86" spans="1:16" x14ac:dyDescent="0.35">
      <c r="A86" t="s">
        <v>1331</v>
      </c>
      <c r="B86" s="5" t="s">
        <v>280</v>
      </c>
      <c r="C86" s="5" t="s">
        <v>275</v>
      </c>
      <c r="D86" s="5" t="str">
        <f>"Q"&amp;ROUNDUP(MONTH(B86)/3,0)</f>
        <v>Q1</v>
      </c>
      <c r="E86" t="s">
        <v>23</v>
      </c>
      <c r="F86" t="s">
        <v>52</v>
      </c>
      <c r="G86" t="s">
        <v>29</v>
      </c>
      <c r="H86" t="s">
        <v>50</v>
      </c>
      <c r="I86" t="s">
        <v>49</v>
      </c>
      <c r="J86" s="4">
        <v>5</v>
      </c>
      <c r="K86" s="3">
        <v>4359.4399999999996</v>
      </c>
      <c r="L86">
        <v>20</v>
      </c>
      <c r="M86" s="2">
        <v>17437.759999999998</v>
      </c>
      <c r="N86" s="2">
        <v>13921.46</v>
      </c>
      <c r="O86" s="2">
        <v>3516.3</v>
      </c>
      <c r="P86" s="1">
        <f>(Sales_Data[[#This Row],[Profit]]/Sales_Data[[#This Row],[Revenue]])</f>
        <v>0.20164860624300371</v>
      </c>
    </row>
    <row r="87" spans="1:16" x14ac:dyDescent="0.35">
      <c r="A87" t="s">
        <v>1330</v>
      </c>
      <c r="B87" s="5" t="s">
        <v>1329</v>
      </c>
      <c r="C87" s="5" t="s">
        <v>275</v>
      </c>
      <c r="D87" s="5" t="str">
        <f>"Q"&amp;ROUNDUP(MONTH(B87)/3,0)</f>
        <v>Q1</v>
      </c>
      <c r="E87" t="s">
        <v>4</v>
      </c>
      <c r="F87" t="s">
        <v>22</v>
      </c>
      <c r="G87" t="s">
        <v>137</v>
      </c>
      <c r="H87" t="s">
        <v>111</v>
      </c>
      <c r="I87" t="s">
        <v>49</v>
      </c>
      <c r="J87" s="4">
        <v>2</v>
      </c>
      <c r="K87" s="3">
        <v>8452.8799999999992</v>
      </c>
      <c r="L87">
        <v>20</v>
      </c>
      <c r="M87" s="2">
        <v>13524.61</v>
      </c>
      <c r="N87" s="2">
        <v>11344.32</v>
      </c>
      <c r="O87" s="2">
        <v>2180.29</v>
      </c>
      <c r="P87" s="1">
        <f>(Sales_Data[[#This Row],[Profit]]/Sales_Data[[#This Row],[Revenue]])</f>
        <v>0.1612090847721302</v>
      </c>
    </row>
    <row r="88" spans="1:16" x14ac:dyDescent="0.35">
      <c r="A88" t="s">
        <v>1328</v>
      </c>
      <c r="B88" s="5" t="s">
        <v>877</v>
      </c>
      <c r="C88" s="5" t="s">
        <v>275</v>
      </c>
      <c r="D88" s="5" t="str">
        <f>"Q"&amp;ROUNDUP(MONTH(B88)/3,0)</f>
        <v>Q1</v>
      </c>
      <c r="E88" t="s">
        <v>4</v>
      </c>
      <c r="F88" t="s">
        <v>22</v>
      </c>
      <c r="G88" t="s">
        <v>137</v>
      </c>
      <c r="H88" t="s">
        <v>45</v>
      </c>
      <c r="I88" t="s">
        <v>8</v>
      </c>
      <c r="J88" s="4">
        <v>1</v>
      </c>
      <c r="K88" s="3">
        <v>863.65</v>
      </c>
      <c r="L88">
        <v>20</v>
      </c>
      <c r="M88" s="2">
        <v>690.92</v>
      </c>
      <c r="N88" s="2">
        <v>547.21</v>
      </c>
      <c r="O88" s="2">
        <v>143.71</v>
      </c>
      <c r="P88" s="1">
        <f>(Sales_Data[[#This Row],[Profit]]/Sales_Data[[#This Row],[Revenue]])</f>
        <v>0.20799803161002722</v>
      </c>
    </row>
    <row r="89" spans="1:16" x14ac:dyDescent="0.35">
      <c r="A89" t="s">
        <v>1327</v>
      </c>
      <c r="B89" s="5" t="s">
        <v>290</v>
      </c>
      <c r="C89" s="5" t="s">
        <v>275</v>
      </c>
      <c r="D89" s="5" t="str">
        <f>"Q"&amp;ROUNDUP(MONTH(B89)/3,0)</f>
        <v>Q1</v>
      </c>
      <c r="E89" t="s">
        <v>4</v>
      </c>
      <c r="F89" t="s">
        <v>56</v>
      </c>
      <c r="G89" t="s">
        <v>255</v>
      </c>
      <c r="H89" t="s">
        <v>20</v>
      </c>
      <c r="I89" t="s">
        <v>19</v>
      </c>
      <c r="J89" s="4">
        <v>4</v>
      </c>
      <c r="K89" s="3">
        <v>28.11</v>
      </c>
      <c r="L89">
        <v>20</v>
      </c>
      <c r="M89" s="2">
        <v>89.95</v>
      </c>
      <c r="N89" s="2">
        <v>75.349999999999994</v>
      </c>
      <c r="O89" s="2">
        <v>14.6</v>
      </c>
      <c r="P89" s="1">
        <f>(Sales_Data[[#This Row],[Profit]]/Sales_Data[[#This Row],[Revenue]])</f>
        <v>0.16231239577543077</v>
      </c>
    </row>
    <row r="90" spans="1:16" x14ac:dyDescent="0.35">
      <c r="A90" t="s">
        <v>1326</v>
      </c>
      <c r="B90" s="5" t="s">
        <v>1105</v>
      </c>
      <c r="C90" s="5" t="s">
        <v>275</v>
      </c>
      <c r="D90" s="5" t="str">
        <f>"Q"&amp;ROUNDUP(MONTH(B90)/3,0)</f>
        <v>Q1</v>
      </c>
      <c r="E90" t="s">
        <v>4</v>
      </c>
      <c r="F90" t="s">
        <v>11</v>
      </c>
      <c r="G90" t="s">
        <v>75</v>
      </c>
      <c r="H90" t="s">
        <v>14</v>
      </c>
      <c r="I90" t="s">
        <v>8</v>
      </c>
      <c r="J90" s="4">
        <v>1</v>
      </c>
      <c r="K90" s="3">
        <v>2642.52</v>
      </c>
      <c r="L90">
        <v>20</v>
      </c>
      <c r="M90" s="2">
        <v>2114.02</v>
      </c>
      <c r="N90" s="2">
        <v>1549.61</v>
      </c>
      <c r="O90" s="2">
        <v>564.41</v>
      </c>
      <c r="P90" s="1">
        <f>(Sales_Data[[#This Row],[Profit]]/Sales_Data[[#This Row],[Revenue]])</f>
        <v>0.26698422909906244</v>
      </c>
    </row>
    <row r="91" spans="1:16" x14ac:dyDescent="0.35">
      <c r="A91" t="s">
        <v>1325</v>
      </c>
      <c r="B91" s="5" t="s">
        <v>861</v>
      </c>
      <c r="C91" s="5" t="s">
        <v>235</v>
      </c>
      <c r="D91" s="5" t="str">
        <f>"Q"&amp;ROUNDUP(MONTH(B91)/3,0)</f>
        <v>Q3</v>
      </c>
      <c r="E91" t="s">
        <v>23</v>
      </c>
      <c r="F91" t="s">
        <v>22</v>
      </c>
      <c r="G91" t="s">
        <v>231</v>
      </c>
      <c r="H91" t="s">
        <v>111</v>
      </c>
      <c r="I91" t="s">
        <v>49</v>
      </c>
      <c r="J91" s="4">
        <v>7</v>
      </c>
      <c r="K91" s="3">
        <v>7240.32</v>
      </c>
      <c r="L91">
        <v>20</v>
      </c>
      <c r="M91" s="2">
        <v>40545.79</v>
      </c>
      <c r="N91" s="2">
        <v>28306.21</v>
      </c>
      <c r="O91" s="2">
        <v>12239.58</v>
      </c>
      <c r="P91" s="1">
        <f>(Sales_Data[[#This Row],[Profit]]/Sales_Data[[#This Row],[Revenue]])</f>
        <v>0.3018705517884841</v>
      </c>
    </row>
    <row r="92" spans="1:16" x14ac:dyDescent="0.35">
      <c r="A92" t="s">
        <v>1324</v>
      </c>
      <c r="B92" s="5" t="s">
        <v>236</v>
      </c>
      <c r="C92" s="5" t="s">
        <v>235</v>
      </c>
      <c r="D92" s="5" t="str">
        <f>"Q"&amp;ROUNDUP(MONTH(B92)/3,0)</f>
        <v>Q3</v>
      </c>
      <c r="E92" t="s">
        <v>36</v>
      </c>
      <c r="F92" t="s">
        <v>63</v>
      </c>
      <c r="G92" t="s">
        <v>66</v>
      </c>
      <c r="H92" t="s">
        <v>59</v>
      </c>
      <c r="I92" t="s">
        <v>0</v>
      </c>
      <c r="J92" s="4">
        <v>8</v>
      </c>
      <c r="K92" s="3">
        <v>1605.15</v>
      </c>
      <c r="L92">
        <v>20</v>
      </c>
      <c r="M92" s="2">
        <v>10272.959999999999</v>
      </c>
      <c r="N92" s="2">
        <v>8396.75</v>
      </c>
      <c r="O92" s="2">
        <v>1876.21</v>
      </c>
      <c r="P92" s="1">
        <f>(Sales_Data[[#This Row],[Profit]]/Sales_Data[[#This Row],[Revenue]])</f>
        <v>0.18263577391521044</v>
      </c>
    </row>
    <row r="93" spans="1:16" x14ac:dyDescent="0.35">
      <c r="A93" t="s">
        <v>1323</v>
      </c>
      <c r="B93" s="5" t="s">
        <v>1322</v>
      </c>
      <c r="C93" s="5" t="s">
        <v>235</v>
      </c>
      <c r="D93" s="5" t="str">
        <f>"Q"&amp;ROUNDUP(MONTH(B93)/3,0)</f>
        <v>Q3</v>
      </c>
      <c r="E93" t="s">
        <v>16</v>
      </c>
      <c r="F93" t="s">
        <v>11</v>
      </c>
      <c r="G93" t="s">
        <v>98</v>
      </c>
      <c r="H93" t="s">
        <v>14</v>
      </c>
      <c r="I93" t="s">
        <v>8</v>
      </c>
      <c r="J93" s="4">
        <v>4</v>
      </c>
      <c r="K93" s="3">
        <v>2363.56</v>
      </c>
      <c r="L93">
        <v>20</v>
      </c>
      <c r="M93" s="2">
        <v>7563.39</v>
      </c>
      <c r="N93" s="2">
        <v>4437.09</v>
      </c>
      <c r="O93" s="2">
        <v>3126.3</v>
      </c>
      <c r="P93" s="1">
        <f>(Sales_Data[[#This Row],[Profit]]/Sales_Data[[#This Row],[Revenue]])</f>
        <v>0.41334639625882047</v>
      </c>
    </row>
    <row r="94" spans="1:16" x14ac:dyDescent="0.35">
      <c r="A94" t="s">
        <v>1321</v>
      </c>
      <c r="B94" s="5" t="s">
        <v>265</v>
      </c>
      <c r="C94" s="5" t="s">
        <v>235</v>
      </c>
      <c r="D94" s="5" t="str">
        <f>"Q"&amp;ROUNDUP(MONTH(B94)/3,0)</f>
        <v>Q3</v>
      </c>
      <c r="E94" t="s">
        <v>4</v>
      </c>
      <c r="F94" t="s">
        <v>11</v>
      </c>
      <c r="G94" t="s">
        <v>112</v>
      </c>
      <c r="H94" t="s">
        <v>1</v>
      </c>
      <c r="I94" t="s">
        <v>0</v>
      </c>
      <c r="J94" s="4">
        <v>2</v>
      </c>
      <c r="K94" s="3">
        <v>544.71</v>
      </c>
      <c r="L94">
        <v>20</v>
      </c>
      <c r="M94" s="2">
        <v>871.54</v>
      </c>
      <c r="N94" s="2">
        <v>698.98</v>
      </c>
      <c r="O94" s="2">
        <v>172.56</v>
      </c>
      <c r="P94" s="1">
        <f>(Sales_Data[[#This Row],[Profit]]/Sales_Data[[#This Row],[Revenue]])</f>
        <v>0.19799435482020333</v>
      </c>
    </row>
    <row r="95" spans="1:16" x14ac:dyDescent="0.35">
      <c r="A95" t="s">
        <v>1320</v>
      </c>
      <c r="B95" s="5" t="s">
        <v>236</v>
      </c>
      <c r="C95" s="5" t="s">
        <v>235</v>
      </c>
      <c r="D95" s="5" t="str">
        <f>"Q"&amp;ROUNDUP(MONTH(B95)/3,0)</f>
        <v>Q3</v>
      </c>
      <c r="E95" t="s">
        <v>16</v>
      </c>
      <c r="F95" t="s">
        <v>56</v>
      </c>
      <c r="G95" t="s">
        <v>42</v>
      </c>
      <c r="H95" t="s">
        <v>34</v>
      </c>
      <c r="I95" t="s">
        <v>8</v>
      </c>
      <c r="J95" s="4">
        <v>3</v>
      </c>
      <c r="K95" s="3">
        <v>26658.06</v>
      </c>
      <c r="L95">
        <v>20</v>
      </c>
      <c r="M95" s="2">
        <v>63979.34</v>
      </c>
      <c r="N95" s="2">
        <v>51918.37</v>
      </c>
      <c r="O95" s="2">
        <v>12060.97</v>
      </c>
      <c r="P95" s="1">
        <f>(Sales_Data[[#This Row],[Profit]]/Sales_Data[[#This Row],[Revenue]])</f>
        <v>0.18851351076769471</v>
      </c>
    </row>
    <row r="96" spans="1:16" x14ac:dyDescent="0.35">
      <c r="A96" t="s">
        <v>1319</v>
      </c>
      <c r="B96" s="5" t="s">
        <v>251</v>
      </c>
      <c r="C96" s="5" t="s">
        <v>235</v>
      </c>
      <c r="D96" s="5" t="str">
        <f>"Q"&amp;ROUNDUP(MONTH(B96)/3,0)</f>
        <v>Q3</v>
      </c>
      <c r="E96" t="s">
        <v>36</v>
      </c>
      <c r="F96" t="s">
        <v>11</v>
      </c>
      <c r="G96" t="s">
        <v>10</v>
      </c>
      <c r="H96" t="s">
        <v>20</v>
      </c>
      <c r="I96" t="s">
        <v>19</v>
      </c>
      <c r="J96" s="4">
        <v>7</v>
      </c>
      <c r="K96" s="3">
        <v>32.33</v>
      </c>
      <c r="L96">
        <v>20</v>
      </c>
      <c r="M96" s="2">
        <v>181.05</v>
      </c>
      <c r="N96" s="2">
        <v>135.9</v>
      </c>
      <c r="O96" s="2">
        <v>45.15</v>
      </c>
      <c r="P96" s="1">
        <f>(Sales_Data[[#This Row],[Profit]]/Sales_Data[[#This Row],[Revenue]])</f>
        <v>0.24937862468931232</v>
      </c>
    </row>
    <row r="97" spans="1:16" x14ac:dyDescent="0.35">
      <c r="A97" t="s">
        <v>1318</v>
      </c>
      <c r="B97" s="5" t="s">
        <v>585</v>
      </c>
      <c r="C97" s="5" t="s">
        <v>235</v>
      </c>
      <c r="D97" s="5" t="str">
        <f>"Q"&amp;ROUNDUP(MONTH(B97)/3,0)</f>
        <v>Q3</v>
      </c>
      <c r="E97" t="s">
        <v>23</v>
      </c>
      <c r="F97" t="s">
        <v>11</v>
      </c>
      <c r="G97" t="s">
        <v>166</v>
      </c>
      <c r="H97" t="s">
        <v>9</v>
      </c>
      <c r="I97" t="s">
        <v>8</v>
      </c>
      <c r="J97" s="4">
        <v>7</v>
      </c>
      <c r="K97" s="3">
        <v>57531.02</v>
      </c>
      <c r="L97">
        <v>20</v>
      </c>
      <c r="M97" s="2">
        <v>322173.71000000002</v>
      </c>
      <c r="N97" s="2">
        <v>196558.57</v>
      </c>
      <c r="O97" s="2">
        <v>125615.14</v>
      </c>
      <c r="P97" s="1">
        <f>(Sales_Data[[#This Row],[Profit]]/Sales_Data[[#This Row],[Revenue]])</f>
        <v>0.38989879093486551</v>
      </c>
    </row>
    <row r="98" spans="1:16" x14ac:dyDescent="0.35">
      <c r="A98" t="s">
        <v>1317</v>
      </c>
      <c r="B98" s="5" t="s">
        <v>241</v>
      </c>
      <c r="C98" s="5" t="s">
        <v>235</v>
      </c>
      <c r="D98" s="5" t="str">
        <f>"Q"&amp;ROUNDUP(MONTH(B98)/3,0)</f>
        <v>Q3</v>
      </c>
      <c r="E98" t="s">
        <v>23</v>
      </c>
      <c r="F98" t="s">
        <v>63</v>
      </c>
      <c r="G98" t="s">
        <v>174</v>
      </c>
      <c r="H98" t="s">
        <v>59</v>
      </c>
      <c r="I98" t="s">
        <v>0</v>
      </c>
      <c r="J98" s="4">
        <v>7</v>
      </c>
      <c r="K98" s="3">
        <v>1471.21</v>
      </c>
      <c r="L98">
        <v>20</v>
      </c>
      <c r="M98" s="2">
        <v>8238.7800000000007</v>
      </c>
      <c r="N98" s="2">
        <v>6312.76</v>
      </c>
      <c r="O98" s="2">
        <v>1926.02</v>
      </c>
      <c r="P98" s="1">
        <f>(Sales_Data[[#This Row],[Profit]]/Sales_Data[[#This Row],[Revenue]])</f>
        <v>0.2337749035658192</v>
      </c>
    </row>
    <row r="99" spans="1:16" x14ac:dyDescent="0.35">
      <c r="A99" t="s">
        <v>1316</v>
      </c>
      <c r="B99" s="5" t="s">
        <v>245</v>
      </c>
      <c r="C99" s="5" t="s">
        <v>235</v>
      </c>
      <c r="D99" s="5" t="str">
        <f>"Q"&amp;ROUNDUP(MONTH(B99)/3,0)</f>
        <v>Q3</v>
      </c>
      <c r="E99" t="s">
        <v>23</v>
      </c>
      <c r="F99" t="s">
        <v>22</v>
      </c>
      <c r="G99" t="s">
        <v>92</v>
      </c>
      <c r="H99" t="s">
        <v>20</v>
      </c>
      <c r="I99" t="s">
        <v>19</v>
      </c>
      <c r="J99" s="4">
        <v>2</v>
      </c>
      <c r="K99" s="3">
        <v>29.75</v>
      </c>
      <c r="L99">
        <v>20</v>
      </c>
      <c r="M99" s="2">
        <v>47.6</v>
      </c>
      <c r="N99" s="2">
        <v>38.520000000000003</v>
      </c>
      <c r="O99" s="2">
        <v>9.08</v>
      </c>
      <c r="P99" s="1">
        <f>(Sales_Data[[#This Row],[Profit]]/Sales_Data[[#This Row],[Revenue]])</f>
        <v>0.19075630252100839</v>
      </c>
    </row>
    <row r="100" spans="1:16" x14ac:dyDescent="0.35">
      <c r="A100" t="s">
        <v>1315</v>
      </c>
      <c r="B100" s="5" t="s">
        <v>247</v>
      </c>
      <c r="C100" s="5" t="s">
        <v>235</v>
      </c>
      <c r="D100" s="5" t="str">
        <f>"Q"&amp;ROUNDUP(MONTH(B100)/3,0)</f>
        <v>Q3</v>
      </c>
      <c r="E100" t="s">
        <v>23</v>
      </c>
      <c r="F100" t="s">
        <v>11</v>
      </c>
      <c r="G100" t="s">
        <v>92</v>
      </c>
      <c r="H100" t="s">
        <v>34</v>
      </c>
      <c r="I100" t="s">
        <v>8</v>
      </c>
      <c r="J100" s="4">
        <v>1</v>
      </c>
      <c r="K100" s="3">
        <v>23997.96</v>
      </c>
      <c r="L100">
        <v>20</v>
      </c>
      <c r="M100" s="2">
        <v>19198.37</v>
      </c>
      <c r="N100" s="2">
        <v>13859.63</v>
      </c>
      <c r="O100" s="2">
        <v>5338.74</v>
      </c>
      <c r="P100" s="1">
        <f>(Sales_Data[[#This Row],[Profit]]/Sales_Data[[#This Row],[Revenue]])</f>
        <v>0.27808298308658497</v>
      </c>
    </row>
    <row r="101" spans="1:16" x14ac:dyDescent="0.35">
      <c r="A101" t="s">
        <v>1314</v>
      </c>
      <c r="B101" s="5" t="s">
        <v>585</v>
      </c>
      <c r="C101" s="5" t="s">
        <v>235</v>
      </c>
      <c r="D101" s="5" t="str">
        <f>"Q"&amp;ROUNDUP(MONTH(B101)/3,0)</f>
        <v>Q3</v>
      </c>
      <c r="E101" t="s">
        <v>4</v>
      </c>
      <c r="F101" t="s">
        <v>56</v>
      </c>
      <c r="G101" t="s">
        <v>294</v>
      </c>
      <c r="H101" t="s">
        <v>50</v>
      </c>
      <c r="I101" t="s">
        <v>49</v>
      </c>
      <c r="J101" s="4">
        <v>4</v>
      </c>
      <c r="K101" s="3">
        <v>4856.6400000000003</v>
      </c>
      <c r="L101">
        <v>20</v>
      </c>
      <c r="M101" s="2">
        <v>15541.25</v>
      </c>
      <c r="N101" s="2">
        <v>12967.33</v>
      </c>
      <c r="O101" s="2">
        <v>2573.92</v>
      </c>
      <c r="P101" s="1">
        <f>(Sales_Data[[#This Row],[Profit]]/Sales_Data[[#This Row],[Revenue]])</f>
        <v>0.16561859567280623</v>
      </c>
    </row>
    <row r="102" spans="1:16" x14ac:dyDescent="0.35">
      <c r="A102" t="s">
        <v>1313</v>
      </c>
      <c r="B102" s="5" t="s">
        <v>273</v>
      </c>
      <c r="C102" s="5" t="s">
        <v>235</v>
      </c>
      <c r="D102" s="5" t="str">
        <f>"Q"&amp;ROUNDUP(MONTH(B102)/3,0)</f>
        <v>Q3</v>
      </c>
      <c r="E102" t="s">
        <v>4</v>
      </c>
      <c r="F102" t="s">
        <v>11</v>
      </c>
      <c r="G102" t="s">
        <v>220</v>
      </c>
      <c r="H102" t="s">
        <v>111</v>
      </c>
      <c r="I102" t="s">
        <v>49</v>
      </c>
      <c r="J102" s="4">
        <v>6</v>
      </c>
      <c r="K102" s="3">
        <v>8491.85</v>
      </c>
      <c r="L102">
        <v>20</v>
      </c>
      <c r="M102" s="2">
        <v>40760.879999999997</v>
      </c>
      <c r="N102" s="2">
        <v>23903.86</v>
      </c>
      <c r="O102" s="2">
        <v>16857.02</v>
      </c>
      <c r="P102" s="1">
        <f>(Sales_Data[[#This Row],[Profit]]/Sales_Data[[#This Row],[Revenue]])</f>
        <v>0.41355878479561781</v>
      </c>
    </row>
    <row r="103" spans="1:16" x14ac:dyDescent="0.35">
      <c r="A103" t="s">
        <v>1312</v>
      </c>
      <c r="B103" s="5" t="s">
        <v>589</v>
      </c>
      <c r="C103" s="5" t="s">
        <v>235</v>
      </c>
      <c r="D103" s="5" t="str">
        <f>"Q"&amp;ROUNDUP(MONTH(B103)/3,0)</f>
        <v>Q3</v>
      </c>
      <c r="E103" t="s">
        <v>16</v>
      </c>
      <c r="F103" t="s">
        <v>52</v>
      </c>
      <c r="G103" t="s">
        <v>82</v>
      </c>
      <c r="H103" t="s">
        <v>59</v>
      </c>
      <c r="I103" t="s">
        <v>0</v>
      </c>
      <c r="J103" s="4">
        <v>4</v>
      </c>
      <c r="K103" s="3">
        <v>1541.7</v>
      </c>
      <c r="L103">
        <v>20</v>
      </c>
      <c r="M103" s="2">
        <v>4933.4399999999996</v>
      </c>
      <c r="N103" s="2">
        <v>2969.4</v>
      </c>
      <c r="O103" s="2">
        <v>1964.04</v>
      </c>
      <c r="P103" s="1">
        <f>(Sales_Data[[#This Row],[Profit]]/Sales_Data[[#This Row],[Revenue]])</f>
        <v>0.3981076084841409</v>
      </c>
    </row>
    <row r="104" spans="1:16" x14ac:dyDescent="0.35">
      <c r="A104" t="s">
        <v>1311</v>
      </c>
      <c r="B104" s="5" t="s">
        <v>262</v>
      </c>
      <c r="C104" s="5" t="s">
        <v>235</v>
      </c>
      <c r="D104" s="5" t="str">
        <f>"Q"&amp;ROUNDUP(MONTH(B104)/3,0)</f>
        <v>Q3</v>
      </c>
      <c r="E104" t="s">
        <v>36</v>
      </c>
      <c r="F104" t="s">
        <v>63</v>
      </c>
      <c r="G104" t="s">
        <v>169</v>
      </c>
      <c r="H104" t="s">
        <v>34</v>
      </c>
      <c r="I104" t="s">
        <v>8</v>
      </c>
      <c r="J104" s="4">
        <v>1</v>
      </c>
      <c r="K104" s="3">
        <v>27409.119999999999</v>
      </c>
      <c r="L104">
        <v>20</v>
      </c>
      <c r="M104" s="2">
        <v>21927.3</v>
      </c>
      <c r="N104" s="2">
        <v>14837.61</v>
      </c>
      <c r="O104" s="2">
        <v>7089.69</v>
      </c>
      <c r="P104" s="1">
        <f>(Sales_Data[[#This Row],[Profit]]/Sales_Data[[#This Row],[Revenue]])</f>
        <v>0.32332708541407285</v>
      </c>
    </row>
    <row r="105" spans="1:16" x14ac:dyDescent="0.35">
      <c r="A105" t="s">
        <v>1310</v>
      </c>
      <c r="B105" s="5" t="s">
        <v>1080</v>
      </c>
      <c r="C105" s="5" t="s">
        <v>235</v>
      </c>
      <c r="D105" s="5" t="str">
        <f>"Q"&amp;ROUNDUP(MONTH(B105)/3,0)</f>
        <v>Q3</v>
      </c>
      <c r="E105" t="s">
        <v>36</v>
      </c>
      <c r="F105" t="s">
        <v>11</v>
      </c>
      <c r="G105" t="s">
        <v>51</v>
      </c>
      <c r="H105" t="s">
        <v>20</v>
      </c>
      <c r="I105" t="s">
        <v>19</v>
      </c>
      <c r="J105" s="4">
        <v>5</v>
      </c>
      <c r="K105" s="3">
        <v>28.56</v>
      </c>
      <c r="L105">
        <v>20</v>
      </c>
      <c r="M105" s="2">
        <v>114.24</v>
      </c>
      <c r="N105" s="2">
        <v>63.49</v>
      </c>
      <c r="O105" s="2">
        <v>50.75</v>
      </c>
      <c r="P105" s="1">
        <f>(Sales_Data[[#This Row],[Profit]]/Sales_Data[[#This Row],[Revenue]])</f>
        <v>0.4442401960784314</v>
      </c>
    </row>
    <row r="106" spans="1:16" x14ac:dyDescent="0.35">
      <c r="A106" t="s">
        <v>1309</v>
      </c>
      <c r="B106" s="5" t="s">
        <v>249</v>
      </c>
      <c r="C106" s="5" t="s">
        <v>235</v>
      </c>
      <c r="D106" s="5" t="str">
        <f>"Q"&amp;ROUNDUP(MONTH(B106)/3,0)</f>
        <v>Q3</v>
      </c>
      <c r="E106" t="s">
        <v>4</v>
      </c>
      <c r="F106" t="s">
        <v>11</v>
      </c>
      <c r="G106" t="s">
        <v>147</v>
      </c>
      <c r="H106" t="s">
        <v>14</v>
      </c>
      <c r="I106" t="s">
        <v>8</v>
      </c>
      <c r="J106" s="4">
        <v>3</v>
      </c>
      <c r="K106" s="3">
        <v>2534.4699999999998</v>
      </c>
      <c r="L106">
        <v>20</v>
      </c>
      <c r="M106" s="2">
        <v>6082.73</v>
      </c>
      <c r="N106" s="2">
        <v>3825.77</v>
      </c>
      <c r="O106" s="2">
        <v>2256.96</v>
      </c>
      <c r="P106" s="1">
        <f>(Sales_Data[[#This Row],[Profit]]/Sales_Data[[#This Row],[Revenue]])</f>
        <v>0.37104392271233477</v>
      </c>
    </row>
    <row r="107" spans="1:16" x14ac:dyDescent="0.35">
      <c r="A107" t="s">
        <v>1308</v>
      </c>
      <c r="B107" s="5" t="s">
        <v>270</v>
      </c>
      <c r="C107" s="5" t="s">
        <v>235</v>
      </c>
      <c r="D107" s="5" t="str">
        <f>"Q"&amp;ROUNDUP(MONTH(B107)/3,0)</f>
        <v>Q3</v>
      </c>
      <c r="E107" t="s">
        <v>16</v>
      </c>
      <c r="F107" t="s">
        <v>52</v>
      </c>
      <c r="G107" t="s">
        <v>108</v>
      </c>
      <c r="H107" t="s">
        <v>20</v>
      </c>
      <c r="I107" t="s">
        <v>19</v>
      </c>
      <c r="J107" s="4">
        <v>4</v>
      </c>
      <c r="K107" s="3">
        <v>29.67</v>
      </c>
      <c r="L107">
        <v>20</v>
      </c>
      <c r="M107" s="2">
        <v>94.94</v>
      </c>
      <c r="N107" s="2">
        <v>57.69</v>
      </c>
      <c r="O107" s="2">
        <v>37.25</v>
      </c>
      <c r="P107" s="1">
        <f>(Sales_Data[[#This Row],[Profit]]/Sales_Data[[#This Row],[Revenue]])</f>
        <v>0.3923530650937434</v>
      </c>
    </row>
    <row r="108" spans="1:16" x14ac:dyDescent="0.35">
      <c r="A108" t="s">
        <v>1307</v>
      </c>
      <c r="B108" s="5" t="s">
        <v>589</v>
      </c>
      <c r="C108" s="5" t="s">
        <v>235</v>
      </c>
      <c r="D108" s="5" t="str">
        <f>"Q"&amp;ROUNDUP(MONTH(B108)/3,0)</f>
        <v>Q3</v>
      </c>
      <c r="E108" t="s">
        <v>16</v>
      </c>
      <c r="F108" t="s">
        <v>22</v>
      </c>
      <c r="G108" t="s">
        <v>128</v>
      </c>
      <c r="H108" t="s">
        <v>9</v>
      </c>
      <c r="I108" t="s">
        <v>8</v>
      </c>
      <c r="J108" s="4">
        <v>5</v>
      </c>
      <c r="K108" s="3">
        <v>64107.31</v>
      </c>
      <c r="L108">
        <v>20</v>
      </c>
      <c r="M108" s="2">
        <v>256429.24</v>
      </c>
      <c r="N108" s="2">
        <v>200105.71</v>
      </c>
      <c r="O108" s="2">
        <v>56323.53</v>
      </c>
      <c r="P108" s="1">
        <f>(Sales_Data[[#This Row],[Profit]]/Sales_Data[[#This Row],[Revenue]])</f>
        <v>0.21964550532536772</v>
      </c>
    </row>
    <row r="109" spans="1:16" x14ac:dyDescent="0.35">
      <c r="A109" t="s">
        <v>1306</v>
      </c>
      <c r="B109" s="5" t="s">
        <v>1305</v>
      </c>
      <c r="C109" s="5" t="s">
        <v>217</v>
      </c>
      <c r="D109" s="5" t="str">
        <f>"Q"&amp;ROUNDUP(MONTH(B109)/3,0)</f>
        <v>Q2</v>
      </c>
      <c r="E109" t="s">
        <v>23</v>
      </c>
      <c r="F109" t="s">
        <v>56</v>
      </c>
      <c r="G109" t="s">
        <v>124</v>
      </c>
      <c r="H109" t="s">
        <v>111</v>
      </c>
      <c r="I109" t="s">
        <v>49</v>
      </c>
      <c r="J109" s="4">
        <v>4</v>
      </c>
      <c r="K109" s="3">
        <v>8054.64</v>
      </c>
      <c r="L109">
        <v>20</v>
      </c>
      <c r="M109" s="2">
        <v>25774.85</v>
      </c>
      <c r="N109" s="2">
        <v>15845.46</v>
      </c>
      <c r="O109" s="2">
        <v>9929.39</v>
      </c>
      <c r="P109" s="1">
        <f>(Sales_Data[[#This Row],[Profit]]/Sales_Data[[#This Row],[Revenue]])</f>
        <v>0.38523560757870562</v>
      </c>
    </row>
    <row r="110" spans="1:16" x14ac:dyDescent="0.35">
      <c r="A110" t="s">
        <v>1304</v>
      </c>
      <c r="B110" s="5" t="s">
        <v>839</v>
      </c>
      <c r="C110" s="5" t="s">
        <v>217</v>
      </c>
      <c r="D110" s="5" t="str">
        <f>"Q"&amp;ROUNDUP(MONTH(B110)/3,0)</f>
        <v>Q2</v>
      </c>
      <c r="E110" t="s">
        <v>36</v>
      </c>
      <c r="F110" t="s">
        <v>11</v>
      </c>
      <c r="G110" t="s">
        <v>238</v>
      </c>
      <c r="H110" t="s">
        <v>34</v>
      </c>
      <c r="I110" t="s">
        <v>8</v>
      </c>
      <c r="J110" s="4">
        <v>8</v>
      </c>
      <c r="K110" s="3">
        <v>24187.67</v>
      </c>
      <c r="L110">
        <v>20</v>
      </c>
      <c r="M110" s="2">
        <v>154801.09</v>
      </c>
      <c r="N110" s="2">
        <v>92424.7</v>
      </c>
      <c r="O110" s="2">
        <v>62376.39</v>
      </c>
      <c r="P110" s="1">
        <f>(Sales_Data[[#This Row],[Profit]]/Sales_Data[[#This Row],[Revenue]])</f>
        <v>0.40294541853678162</v>
      </c>
    </row>
    <row r="111" spans="1:16" x14ac:dyDescent="0.35">
      <c r="A111" t="s">
        <v>1303</v>
      </c>
      <c r="B111" s="5" t="s">
        <v>847</v>
      </c>
      <c r="C111" s="5" t="s">
        <v>217</v>
      </c>
      <c r="D111" s="5" t="str">
        <f>"Q"&amp;ROUNDUP(MONTH(B111)/3,0)</f>
        <v>Q2</v>
      </c>
      <c r="E111" t="s">
        <v>4</v>
      </c>
      <c r="F111" t="s">
        <v>3</v>
      </c>
      <c r="G111" t="s">
        <v>26</v>
      </c>
      <c r="H111" t="s">
        <v>1</v>
      </c>
      <c r="I111" t="s">
        <v>0</v>
      </c>
      <c r="J111" s="4">
        <v>8</v>
      </c>
      <c r="K111" s="3">
        <v>465.43</v>
      </c>
      <c r="L111">
        <v>20</v>
      </c>
      <c r="M111" s="2">
        <v>2978.75</v>
      </c>
      <c r="N111" s="2">
        <v>1858.93</v>
      </c>
      <c r="O111" s="2">
        <v>1119.82</v>
      </c>
      <c r="P111" s="1">
        <f>(Sales_Data[[#This Row],[Profit]]/Sales_Data[[#This Row],[Revenue]])</f>
        <v>0.37593621485522449</v>
      </c>
    </row>
    <row r="112" spans="1:16" x14ac:dyDescent="0.35">
      <c r="A112" t="s">
        <v>1302</v>
      </c>
      <c r="B112" s="5" t="s">
        <v>225</v>
      </c>
      <c r="C112" s="5" t="s">
        <v>217</v>
      </c>
      <c r="D112" s="5" t="str">
        <f>"Q"&amp;ROUNDUP(MONTH(B112)/3,0)</f>
        <v>Q2</v>
      </c>
      <c r="E112" t="s">
        <v>4</v>
      </c>
      <c r="F112" t="s">
        <v>56</v>
      </c>
      <c r="G112" t="s">
        <v>98</v>
      </c>
      <c r="H112" t="s">
        <v>14</v>
      </c>
      <c r="I112" t="s">
        <v>8</v>
      </c>
      <c r="J112" s="4">
        <v>8</v>
      </c>
      <c r="K112" s="3">
        <v>2554</v>
      </c>
      <c r="L112">
        <v>20</v>
      </c>
      <c r="M112" s="2">
        <v>16345.6</v>
      </c>
      <c r="N112" s="2">
        <v>12091.92</v>
      </c>
      <c r="O112" s="2">
        <v>4253.68</v>
      </c>
      <c r="P112" s="1">
        <f>(Sales_Data[[#This Row],[Profit]]/Sales_Data[[#This Row],[Revenue]])</f>
        <v>0.26023394675019579</v>
      </c>
    </row>
    <row r="113" spans="1:16" x14ac:dyDescent="0.35">
      <c r="A113" t="s">
        <v>1301</v>
      </c>
      <c r="B113" s="5" t="s">
        <v>218</v>
      </c>
      <c r="C113" s="5" t="s">
        <v>217</v>
      </c>
      <c r="D113" s="5" t="str">
        <f>"Q"&amp;ROUNDUP(MONTH(B113)/3,0)</f>
        <v>Q2</v>
      </c>
      <c r="E113" t="s">
        <v>4</v>
      </c>
      <c r="F113" t="s">
        <v>11</v>
      </c>
      <c r="G113" t="s">
        <v>159</v>
      </c>
      <c r="H113" t="s">
        <v>45</v>
      </c>
      <c r="I113" t="s">
        <v>8</v>
      </c>
      <c r="J113" s="4">
        <v>7</v>
      </c>
      <c r="K113" s="3">
        <v>812.45</v>
      </c>
      <c r="L113">
        <v>20</v>
      </c>
      <c r="M113" s="2">
        <v>4549.72</v>
      </c>
      <c r="N113" s="2">
        <v>3303.96</v>
      </c>
      <c r="O113" s="2">
        <v>1245.76</v>
      </c>
      <c r="P113" s="1">
        <f>(Sales_Data[[#This Row],[Profit]]/Sales_Data[[#This Row],[Revenue]])</f>
        <v>0.27381025645534229</v>
      </c>
    </row>
    <row r="114" spans="1:16" x14ac:dyDescent="0.35">
      <c r="A114" t="s">
        <v>1300</v>
      </c>
      <c r="B114" s="5" t="s">
        <v>218</v>
      </c>
      <c r="C114" s="5" t="s">
        <v>217</v>
      </c>
      <c r="D114" s="5" t="str">
        <f>"Q"&amp;ROUNDUP(MONTH(B114)/3,0)</f>
        <v>Q2</v>
      </c>
      <c r="E114" t="s">
        <v>16</v>
      </c>
      <c r="F114" t="s">
        <v>52</v>
      </c>
      <c r="G114" t="s">
        <v>137</v>
      </c>
      <c r="H114" t="s">
        <v>1</v>
      </c>
      <c r="I114" t="s">
        <v>0</v>
      </c>
      <c r="J114" s="4">
        <v>8</v>
      </c>
      <c r="K114" s="3">
        <v>515.67999999999995</v>
      </c>
      <c r="L114">
        <v>20</v>
      </c>
      <c r="M114" s="2">
        <v>3300.35</v>
      </c>
      <c r="N114" s="2">
        <v>2094.2199999999998</v>
      </c>
      <c r="O114" s="2">
        <v>1206.1300000000001</v>
      </c>
      <c r="P114" s="1">
        <f>(Sales_Data[[#This Row],[Profit]]/Sales_Data[[#This Row],[Revenue]])</f>
        <v>0.36545517899616714</v>
      </c>
    </row>
    <row r="115" spans="1:16" x14ac:dyDescent="0.35">
      <c r="A115" t="s">
        <v>1299</v>
      </c>
      <c r="B115" s="5" t="s">
        <v>839</v>
      </c>
      <c r="C115" s="5" t="s">
        <v>217</v>
      </c>
      <c r="D115" s="5" t="str">
        <f>"Q"&amp;ROUNDUP(MONTH(B115)/3,0)</f>
        <v>Q2</v>
      </c>
      <c r="E115" t="s">
        <v>23</v>
      </c>
      <c r="F115" t="s">
        <v>3</v>
      </c>
      <c r="G115" t="s">
        <v>10</v>
      </c>
      <c r="H115" t="s">
        <v>45</v>
      </c>
      <c r="I115" t="s">
        <v>8</v>
      </c>
      <c r="J115" s="4">
        <v>6</v>
      </c>
      <c r="K115" s="3">
        <v>901.74</v>
      </c>
      <c r="L115">
        <v>20</v>
      </c>
      <c r="M115" s="2">
        <v>4328.3500000000004</v>
      </c>
      <c r="N115" s="2">
        <v>2456.88</v>
      </c>
      <c r="O115" s="2">
        <v>1871.47</v>
      </c>
      <c r="P115" s="1">
        <f>(Sales_Data[[#This Row],[Profit]]/Sales_Data[[#This Row],[Revenue]])</f>
        <v>0.43237492346968243</v>
      </c>
    </row>
    <row r="116" spans="1:16" x14ac:dyDescent="0.35">
      <c r="A116" t="s">
        <v>1298</v>
      </c>
      <c r="B116" s="5" t="s">
        <v>1073</v>
      </c>
      <c r="C116" s="5" t="s">
        <v>217</v>
      </c>
      <c r="D116" s="5" t="str">
        <f>"Q"&amp;ROUNDUP(MONTH(B116)/3,0)</f>
        <v>Q2</v>
      </c>
      <c r="E116" t="s">
        <v>23</v>
      </c>
      <c r="F116" t="s">
        <v>52</v>
      </c>
      <c r="G116" t="s">
        <v>29</v>
      </c>
      <c r="H116" t="s">
        <v>59</v>
      </c>
      <c r="I116" t="s">
        <v>0</v>
      </c>
      <c r="J116" s="4">
        <v>5</v>
      </c>
      <c r="K116" s="3">
        <v>1506.98</v>
      </c>
      <c r="L116">
        <v>20</v>
      </c>
      <c r="M116" s="2">
        <v>6027.92</v>
      </c>
      <c r="N116" s="2">
        <v>4378.51</v>
      </c>
      <c r="O116" s="2">
        <v>1649.41</v>
      </c>
      <c r="P116" s="1">
        <f>(Sales_Data[[#This Row],[Profit]]/Sales_Data[[#This Row],[Revenue]])</f>
        <v>0.2736283825930006</v>
      </c>
    </row>
    <row r="117" spans="1:16" x14ac:dyDescent="0.35">
      <c r="A117" t="s">
        <v>1297</v>
      </c>
      <c r="B117" s="5" t="s">
        <v>547</v>
      </c>
      <c r="C117" s="5" t="s">
        <v>217</v>
      </c>
      <c r="D117" s="5" t="str">
        <f>"Q"&amp;ROUNDUP(MONTH(B117)/3,0)</f>
        <v>Q2</v>
      </c>
      <c r="E117" t="s">
        <v>36</v>
      </c>
      <c r="F117" t="s">
        <v>11</v>
      </c>
      <c r="G117" t="s">
        <v>128</v>
      </c>
      <c r="H117" t="s">
        <v>34</v>
      </c>
      <c r="I117" t="s">
        <v>8</v>
      </c>
      <c r="J117" s="4">
        <v>2</v>
      </c>
      <c r="K117" s="3">
        <v>26333.72</v>
      </c>
      <c r="L117">
        <v>20</v>
      </c>
      <c r="M117" s="2">
        <v>42133.95</v>
      </c>
      <c r="N117" s="2">
        <v>32581.72</v>
      </c>
      <c r="O117" s="2">
        <v>9552.23</v>
      </c>
      <c r="P117" s="1">
        <f>(Sales_Data[[#This Row],[Profit]]/Sales_Data[[#This Row],[Revenue]])</f>
        <v>0.22671100146081724</v>
      </c>
    </row>
    <row r="118" spans="1:16" x14ac:dyDescent="0.35">
      <c r="A118" t="s">
        <v>1296</v>
      </c>
      <c r="B118" s="5" t="s">
        <v>565</v>
      </c>
      <c r="C118" s="5" t="s">
        <v>217</v>
      </c>
      <c r="D118" s="5" t="str">
        <f>"Q"&amp;ROUNDUP(MONTH(B118)/3,0)</f>
        <v>Q2</v>
      </c>
      <c r="E118" t="s">
        <v>4</v>
      </c>
      <c r="F118" t="s">
        <v>3</v>
      </c>
      <c r="G118" t="s">
        <v>26</v>
      </c>
      <c r="H118" t="s">
        <v>14</v>
      </c>
      <c r="I118" t="s">
        <v>8</v>
      </c>
      <c r="J118" s="4">
        <v>6</v>
      </c>
      <c r="K118" s="3">
        <v>2476.86</v>
      </c>
      <c r="L118">
        <v>20</v>
      </c>
      <c r="M118" s="2">
        <v>11888.93</v>
      </c>
      <c r="N118" s="2">
        <v>7282.59</v>
      </c>
      <c r="O118" s="2">
        <v>4606.34</v>
      </c>
      <c r="P118" s="1">
        <f>(Sales_Data[[#This Row],[Profit]]/Sales_Data[[#This Row],[Revenue]])</f>
        <v>0.38744781910567228</v>
      </c>
    </row>
    <row r="119" spans="1:16" x14ac:dyDescent="0.35">
      <c r="A119" t="s">
        <v>1295</v>
      </c>
      <c r="B119" s="5" t="s">
        <v>225</v>
      </c>
      <c r="C119" s="5" t="s">
        <v>217</v>
      </c>
      <c r="D119" s="5" t="str">
        <f>"Q"&amp;ROUNDUP(MONTH(B119)/3,0)</f>
        <v>Q2</v>
      </c>
      <c r="E119" t="s">
        <v>16</v>
      </c>
      <c r="F119" t="s">
        <v>22</v>
      </c>
      <c r="G119" t="s">
        <v>95</v>
      </c>
      <c r="H119" t="s">
        <v>34</v>
      </c>
      <c r="I119" t="s">
        <v>8</v>
      </c>
      <c r="J119" s="4">
        <v>8</v>
      </c>
      <c r="K119" s="3">
        <v>27424.15</v>
      </c>
      <c r="L119">
        <v>20</v>
      </c>
      <c r="M119" s="2">
        <v>175514.56</v>
      </c>
      <c r="N119" s="2">
        <v>135917.71</v>
      </c>
      <c r="O119" s="2">
        <v>39596.85</v>
      </c>
      <c r="P119" s="1">
        <f>(Sales_Data[[#This Row],[Profit]]/Sales_Data[[#This Row],[Revenue]])</f>
        <v>0.22560436011690427</v>
      </c>
    </row>
    <row r="120" spans="1:16" x14ac:dyDescent="0.35">
      <c r="A120" t="s">
        <v>1294</v>
      </c>
      <c r="B120" s="5" t="s">
        <v>1062</v>
      </c>
      <c r="C120" s="5" t="s">
        <v>217</v>
      </c>
      <c r="D120" s="5" t="str">
        <f>"Q"&amp;ROUNDUP(MONTH(B120)/3,0)</f>
        <v>Q2</v>
      </c>
      <c r="E120" t="s">
        <v>23</v>
      </c>
      <c r="F120" t="s">
        <v>52</v>
      </c>
      <c r="G120" t="s">
        <v>10</v>
      </c>
      <c r="H120" t="s">
        <v>59</v>
      </c>
      <c r="I120" t="s">
        <v>0</v>
      </c>
      <c r="J120" s="4">
        <v>3</v>
      </c>
      <c r="K120" s="3">
        <v>1549.42</v>
      </c>
      <c r="L120">
        <v>20</v>
      </c>
      <c r="M120" s="2">
        <v>3718.61</v>
      </c>
      <c r="N120" s="2">
        <v>2687.23</v>
      </c>
      <c r="O120" s="2">
        <v>1031.3800000000001</v>
      </c>
      <c r="P120" s="1">
        <f>(Sales_Data[[#This Row],[Profit]]/Sales_Data[[#This Row],[Revenue]])</f>
        <v>0.27735632400278598</v>
      </c>
    </row>
    <row r="121" spans="1:16" x14ac:dyDescent="0.35">
      <c r="A121" t="s">
        <v>1293</v>
      </c>
      <c r="B121" s="5" t="s">
        <v>560</v>
      </c>
      <c r="C121" s="5" t="s">
        <v>217</v>
      </c>
      <c r="D121" s="5" t="str">
        <f>"Q"&amp;ROUNDUP(MONTH(B121)/3,0)</f>
        <v>Q2</v>
      </c>
      <c r="E121" t="s">
        <v>23</v>
      </c>
      <c r="F121" t="s">
        <v>3</v>
      </c>
      <c r="G121" t="s">
        <v>118</v>
      </c>
      <c r="H121" t="s">
        <v>20</v>
      </c>
      <c r="I121" t="s">
        <v>19</v>
      </c>
      <c r="J121" s="4">
        <v>5</v>
      </c>
      <c r="K121" s="3">
        <v>27.49</v>
      </c>
      <c r="L121">
        <v>20</v>
      </c>
      <c r="M121" s="2">
        <v>109.96</v>
      </c>
      <c r="N121" s="2">
        <v>73.84</v>
      </c>
      <c r="O121" s="2">
        <v>36.119999999999997</v>
      </c>
      <c r="P121" s="1">
        <f>(Sales_Data[[#This Row],[Profit]]/Sales_Data[[#This Row],[Revenue]])</f>
        <v>0.32848308475809385</v>
      </c>
    </row>
    <row r="122" spans="1:16" x14ac:dyDescent="0.35">
      <c r="A122" t="s">
        <v>1292</v>
      </c>
      <c r="B122" s="5" t="s">
        <v>839</v>
      </c>
      <c r="C122" s="5" t="s">
        <v>217</v>
      </c>
      <c r="D122" s="5" t="str">
        <f>"Q"&amp;ROUNDUP(MONTH(B122)/3,0)</f>
        <v>Q2</v>
      </c>
      <c r="E122" t="s">
        <v>16</v>
      </c>
      <c r="F122" t="s">
        <v>3</v>
      </c>
      <c r="G122" t="s">
        <v>85</v>
      </c>
      <c r="H122" t="s">
        <v>20</v>
      </c>
      <c r="I122" t="s">
        <v>19</v>
      </c>
      <c r="J122" s="4">
        <v>8</v>
      </c>
      <c r="K122" s="3">
        <v>27.03</v>
      </c>
      <c r="L122">
        <v>20</v>
      </c>
      <c r="M122" s="2">
        <v>172.99</v>
      </c>
      <c r="N122" s="2">
        <v>97.26</v>
      </c>
      <c r="O122" s="2">
        <v>75.73</v>
      </c>
      <c r="P122" s="1">
        <f>(Sales_Data[[#This Row],[Profit]]/Sales_Data[[#This Row],[Revenue]])</f>
        <v>0.43777096942019772</v>
      </c>
    </row>
    <row r="123" spans="1:16" x14ac:dyDescent="0.35">
      <c r="A123" t="s">
        <v>1291</v>
      </c>
      <c r="B123" s="5" t="s">
        <v>560</v>
      </c>
      <c r="C123" s="5" t="s">
        <v>217</v>
      </c>
      <c r="D123" s="5" t="str">
        <f>"Q"&amp;ROUNDUP(MONTH(B123)/3,0)</f>
        <v>Q2</v>
      </c>
      <c r="E123" t="s">
        <v>36</v>
      </c>
      <c r="F123" t="s">
        <v>3</v>
      </c>
      <c r="G123" t="s">
        <v>35</v>
      </c>
      <c r="H123" t="s">
        <v>9</v>
      </c>
      <c r="I123" t="s">
        <v>8</v>
      </c>
      <c r="J123" s="4">
        <v>2</v>
      </c>
      <c r="K123" s="3">
        <v>64332.51</v>
      </c>
      <c r="L123">
        <v>20</v>
      </c>
      <c r="M123" s="2">
        <v>102932.02</v>
      </c>
      <c r="N123" s="2">
        <v>81583.34</v>
      </c>
      <c r="O123" s="2">
        <v>21348.68</v>
      </c>
      <c r="P123" s="1">
        <f>(Sales_Data[[#This Row],[Profit]]/Sales_Data[[#This Row],[Revenue]])</f>
        <v>0.20740562557695846</v>
      </c>
    </row>
    <row r="124" spans="1:16" x14ac:dyDescent="0.35">
      <c r="A124" t="s">
        <v>1290</v>
      </c>
      <c r="B124" s="5" t="s">
        <v>233</v>
      </c>
      <c r="C124" s="5" t="s">
        <v>217</v>
      </c>
      <c r="D124" s="5" t="str">
        <f>"Q"&amp;ROUNDUP(MONTH(B124)/3,0)</f>
        <v>Q2</v>
      </c>
      <c r="E124" t="s">
        <v>23</v>
      </c>
      <c r="F124" t="s">
        <v>11</v>
      </c>
      <c r="G124" t="s">
        <v>66</v>
      </c>
      <c r="H124" t="s">
        <v>50</v>
      </c>
      <c r="I124" t="s">
        <v>49</v>
      </c>
      <c r="J124" s="4">
        <v>5</v>
      </c>
      <c r="K124" s="3">
        <v>4703.2700000000004</v>
      </c>
      <c r="L124">
        <v>20</v>
      </c>
      <c r="M124" s="2">
        <v>18813.080000000002</v>
      </c>
      <c r="N124" s="2">
        <v>10367.5</v>
      </c>
      <c r="O124" s="2">
        <v>8445.58</v>
      </c>
      <c r="P124" s="1">
        <f>(Sales_Data[[#This Row],[Profit]]/Sales_Data[[#This Row],[Revenue]])</f>
        <v>0.44892064457281844</v>
      </c>
    </row>
    <row r="125" spans="1:16" x14ac:dyDescent="0.35">
      <c r="A125" t="s">
        <v>1289</v>
      </c>
      <c r="B125" s="5" t="s">
        <v>839</v>
      </c>
      <c r="C125" s="5" t="s">
        <v>217</v>
      </c>
      <c r="D125" s="5" t="str">
        <f>"Q"&amp;ROUNDUP(MONTH(B125)/3,0)</f>
        <v>Q2</v>
      </c>
      <c r="E125" t="s">
        <v>23</v>
      </c>
      <c r="F125" t="s">
        <v>3</v>
      </c>
      <c r="G125" t="s">
        <v>39</v>
      </c>
      <c r="H125" t="s">
        <v>50</v>
      </c>
      <c r="I125" t="s">
        <v>49</v>
      </c>
      <c r="J125" s="4">
        <v>6</v>
      </c>
      <c r="K125" s="3">
        <v>4527.75</v>
      </c>
      <c r="L125">
        <v>20</v>
      </c>
      <c r="M125" s="2">
        <v>21733.200000000001</v>
      </c>
      <c r="N125" s="2">
        <v>15894.62</v>
      </c>
      <c r="O125" s="2">
        <v>5838.58</v>
      </c>
      <c r="P125" s="1">
        <f>(Sales_Data[[#This Row],[Profit]]/Sales_Data[[#This Row],[Revenue]])</f>
        <v>0.2686479671654427</v>
      </c>
    </row>
    <row r="126" spans="1:16" x14ac:dyDescent="0.35">
      <c r="A126" t="s">
        <v>1288</v>
      </c>
      <c r="B126" s="5" t="s">
        <v>847</v>
      </c>
      <c r="C126" s="5" t="s">
        <v>217</v>
      </c>
      <c r="D126" s="5" t="str">
        <f>"Q"&amp;ROUNDUP(MONTH(B126)/3,0)</f>
        <v>Q2</v>
      </c>
      <c r="E126" t="s">
        <v>16</v>
      </c>
      <c r="F126" t="s">
        <v>22</v>
      </c>
      <c r="G126" t="s">
        <v>95</v>
      </c>
      <c r="H126" t="s">
        <v>14</v>
      </c>
      <c r="I126" t="s">
        <v>8</v>
      </c>
      <c r="J126" s="4">
        <v>2</v>
      </c>
      <c r="K126" s="3">
        <v>2524.44</v>
      </c>
      <c r="L126">
        <v>20</v>
      </c>
      <c r="M126" s="2">
        <v>4039.1</v>
      </c>
      <c r="N126" s="2">
        <v>2553.9</v>
      </c>
      <c r="O126" s="2">
        <v>1485.2</v>
      </c>
      <c r="P126" s="1">
        <f>(Sales_Data[[#This Row],[Profit]]/Sales_Data[[#This Row],[Revenue]])</f>
        <v>0.36770567700725409</v>
      </c>
    </row>
    <row r="127" spans="1:16" x14ac:dyDescent="0.35">
      <c r="A127" t="s">
        <v>1287</v>
      </c>
      <c r="B127" s="5" t="s">
        <v>1286</v>
      </c>
      <c r="C127" s="5" t="s">
        <v>217</v>
      </c>
      <c r="D127" s="5" t="str">
        <f>"Q"&amp;ROUNDUP(MONTH(B127)/3,0)</f>
        <v>Q2</v>
      </c>
      <c r="E127" t="s">
        <v>4</v>
      </c>
      <c r="F127" t="s">
        <v>63</v>
      </c>
      <c r="G127" t="s">
        <v>68</v>
      </c>
      <c r="H127" t="s">
        <v>34</v>
      </c>
      <c r="I127" t="s">
        <v>8</v>
      </c>
      <c r="J127" s="4">
        <v>8</v>
      </c>
      <c r="K127" s="3">
        <v>26017.09</v>
      </c>
      <c r="L127">
        <v>20</v>
      </c>
      <c r="M127" s="2">
        <v>166509.38</v>
      </c>
      <c r="N127" s="2">
        <v>129873.8</v>
      </c>
      <c r="O127" s="2">
        <v>36635.58</v>
      </c>
      <c r="P127" s="1">
        <f>(Sales_Data[[#This Row],[Profit]]/Sales_Data[[#This Row],[Revenue]])</f>
        <v>0.22002111832979018</v>
      </c>
    </row>
    <row r="128" spans="1:16" x14ac:dyDescent="0.35">
      <c r="A128" t="s">
        <v>1285</v>
      </c>
      <c r="B128" s="5" t="s">
        <v>839</v>
      </c>
      <c r="C128" s="5" t="s">
        <v>217</v>
      </c>
      <c r="D128" s="5" t="str">
        <f>"Q"&amp;ROUNDUP(MONTH(B128)/3,0)</f>
        <v>Q2</v>
      </c>
      <c r="E128" t="s">
        <v>36</v>
      </c>
      <c r="F128" t="s">
        <v>52</v>
      </c>
      <c r="G128" t="s">
        <v>112</v>
      </c>
      <c r="H128" t="s">
        <v>50</v>
      </c>
      <c r="I128" t="s">
        <v>49</v>
      </c>
      <c r="J128" s="4">
        <v>6</v>
      </c>
      <c r="K128" s="3">
        <v>4352.2299999999996</v>
      </c>
      <c r="L128">
        <v>20</v>
      </c>
      <c r="M128" s="2">
        <v>20890.7</v>
      </c>
      <c r="N128" s="2">
        <v>16716.759999999998</v>
      </c>
      <c r="O128" s="2">
        <v>4173.9399999999996</v>
      </c>
      <c r="P128" s="1">
        <f>(Sales_Data[[#This Row],[Profit]]/Sales_Data[[#This Row],[Revenue]])</f>
        <v>0.19979895360136327</v>
      </c>
    </row>
    <row r="129" spans="1:16" x14ac:dyDescent="0.35">
      <c r="A129" t="s">
        <v>1284</v>
      </c>
      <c r="B129" s="5" t="s">
        <v>545</v>
      </c>
      <c r="C129" s="5" t="s">
        <v>217</v>
      </c>
      <c r="D129" s="5" t="str">
        <f>"Q"&amp;ROUNDUP(MONTH(B129)/3,0)</f>
        <v>Q2</v>
      </c>
      <c r="E129" t="s">
        <v>16</v>
      </c>
      <c r="F129" t="s">
        <v>52</v>
      </c>
      <c r="G129" t="s">
        <v>35</v>
      </c>
      <c r="H129" t="s">
        <v>111</v>
      </c>
      <c r="I129" t="s">
        <v>49</v>
      </c>
      <c r="J129" s="4">
        <v>3</v>
      </c>
      <c r="K129" s="3">
        <v>8096.05</v>
      </c>
      <c r="L129">
        <v>20</v>
      </c>
      <c r="M129" s="2">
        <v>19430.52</v>
      </c>
      <c r="N129" s="2">
        <v>13132.89</v>
      </c>
      <c r="O129" s="2">
        <v>6297.63</v>
      </c>
      <c r="P129" s="1">
        <f>(Sales_Data[[#This Row],[Profit]]/Sales_Data[[#This Row],[Revenue]])</f>
        <v>0.32411021424027764</v>
      </c>
    </row>
    <row r="130" spans="1:16" x14ac:dyDescent="0.35">
      <c r="A130" t="s">
        <v>1283</v>
      </c>
      <c r="B130" s="5" t="s">
        <v>522</v>
      </c>
      <c r="C130" s="5" t="s">
        <v>184</v>
      </c>
      <c r="D130" s="5" t="str">
        <f>"Q"&amp;ROUNDUP(MONTH(B130)/3,0)</f>
        <v>Q1</v>
      </c>
      <c r="E130" t="s">
        <v>4</v>
      </c>
      <c r="F130" t="s">
        <v>3</v>
      </c>
      <c r="G130" t="s">
        <v>29</v>
      </c>
      <c r="H130" t="s">
        <v>14</v>
      </c>
      <c r="I130" t="s">
        <v>8</v>
      </c>
      <c r="J130" s="4">
        <v>5</v>
      </c>
      <c r="K130" s="3">
        <v>2411.9299999999998</v>
      </c>
      <c r="L130">
        <v>20</v>
      </c>
      <c r="M130" s="2">
        <v>9647.7199999999993</v>
      </c>
      <c r="N130" s="2">
        <v>7465.24</v>
      </c>
      <c r="O130" s="2">
        <v>2182.48</v>
      </c>
      <c r="P130" s="1">
        <f>(Sales_Data[[#This Row],[Profit]]/Sales_Data[[#This Row],[Revenue]])</f>
        <v>0.22621717877384503</v>
      </c>
    </row>
    <row r="131" spans="1:16" x14ac:dyDescent="0.35">
      <c r="A131" t="s">
        <v>1282</v>
      </c>
      <c r="B131" s="5" t="s">
        <v>1281</v>
      </c>
      <c r="C131" s="5" t="s">
        <v>184</v>
      </c>
      <c r="D131" s="5" t="str">
        <f>"Q"&amp;ROUNDUP(MONTH(B131)/3,0)</f>
        <v>Q1</v>
      </c>
      <c r="E131" t="s">
        <v>23</v>
      </c>
      <c r="F131" t="s">
        <v>56</v>
      </c>
      <c r="G131" t="s">
        <v>98</v>
      </c>
      <c r="H131" t="s">
        <v>45</v>
      </c>
      <c r="I131" t="s">
        <v>8</v>
      </c>
      <c r="J131" s="4">
        <v>7</v>
      </c>
      <c r="K131" s="3">
        <v>896.84</v>
      </c>
      <c r="L131">
        <v>20</v>
      </c>
      <c r="M131" s="2">
        <v>5022.3</v>
      </c>
      <c r="N131" s="2">
        <v>3786.78</v>
      </c>
      <c r="O131" s="2">
        <v>1235.52</v>
      </c>
      <c r="P131" s="1">
        <f>(Sales_Data[[#This Row],[Profit]]/Sales_Data[[#This Row],[Revenue]])</f>
        <v>0.24600680962905441</v>
      </c>
    </row>
    <row r="132" spans="1:16" x14ac:dyDescent="0.35">
      <c r="A132" t="s">
        <v>1280</v>
      </c>
      <c r="B132" s="5" t="s">
        <v>1275</v>
      </c>
      <c r="C132" s="5" t="s">
        <v>184</v>
      </c>
      <c r="D132" s="5" t="str">
        <f>"Q"&amp;ROUNDUP(MONTH(B132)/3,0)</f>
        <v>Q1</v>
      </c>
      <c r="E132" t="s">
        <v>4</v>
      </c>
      <c r="F132" t="s">
        <v>63</v>
      </c>
      <c r="G132" t="s">
        <v>42</v>
      </c>
      <c r="H132" t="s">
        <v>14</v>
      </c>
      <c r="I132" t="s">
        <v>8</v>
      </c>
      <c r="J132" s="4">
        <v>8</v>
      </c>
      <c r="K132" s="3">
        <v>2703.07</v>
      </c>
      <c r="L132">
        <v>20</v>
      </c>
      <c r="M132" s="2">
        <v>17299.650000000001</v>
      </c>
      <c r="N132" s="2">
        <v>11335.59</v>
      </c>
      <c r="O132" s="2">
        <v>5964.06</v>
      </c>
      <c r="P132" s="1">
        <f>(Sales_Data[[#This Row],[Profit]]/Sales_Data[[#This Row],[Revenue]])</f>
        <v>0.34475032731876076</v>
      </c>
    </row>
    <row r="133" spans="1:16" x14ac:dyDescent="0.35">
      <c r="A133" t="s">
        <v>1279</v>
      </c>
      <c r="B133" s="5" t="s">
        <v>192</v>
      </c>
      <c r="C133" s="5" t="s">
        <v>184</v>
      </c>
      <c r="D133" s="5" t="str">
        <f>"Q"&amp;ROUNDUP(MONTH(B133)/3,0)</f>
        <v>Q1</v>
      </c>
      <c r="E133" t="s">
        <v>16</v>
      </c>
      <c r="F133" t="s">
        <v>22</v>
      </c>
      <c r="G133" t="s">
        <v>71</v>
      </c>
      <c r="H133" t="s">
        <v>111</v>
      </c>
      <c r="I133" t="s">
        <v>49</v>
      </c>
      <c r="J133" s="4">
        <v>7</v>
      </c>
      <c r="K133" s="3">
        <v>8725.18</v>
      </c>
      <c r="L133">
        <v>20</v>
      </c>
      <c r="M133" s="2">
        <v>48861.01</v>
      </c>
      <c r="N133" s="2">
        <v>30332.959999999999</v>
      </c>
      <c r="O133" s="2">
        <v>18528.05</v>
      </c>
      <c r="P133" s="1">
        <f>(Sales_Data[[#This Row],[Profit]]/Sales_Data[[#This Row],[Revenue]])</f>
        <v>0.37919907918399554</v>
      </c>
    </row>
    <row r="134" spans="1:16" x14ac:dyDescent="0.35">
      <c r="A134" t="s">
        <v>1278</v>
      </c>
      <c r="B134" s="5" t="s">
        <v>189</v>
      </c>
      <c r="C134" s="5" t="s">
        <v>184</v>
      </c>
      <c r="D134" s="5" t="str">
        <f>"Q"&amp;ROUNDUP(MONTH(B134)/3,0)</f>
        <v>Q1</v>
      </c>
      <c r="E134" t="s">
        <v>23</v>
      </c>
      <c r="F134" t="s">
        <v>3</v>
      </c>
      <c r="G134" t="s">
        <v>31</v>
      </c>
      <c r="H134" t="s">
        <v>20</v>
      </c>
      <c r="I134" t="s">
        <v>19</v>
      </c>
      <c r="J134" s="4">
        <v>8</v>
      </c>
      <c r="K134" s="3">
        <v>28.03</v>
      </c>
      <c r="L134">
        <v>20</v>
      </c>
      <c r="M134" s="2">
        <v>179.39</v>
      </c>
      <c r="N134" s="2">
        <v>116.92</v>
      </c>
      <c r="O134" s="2">
        <v>62.47</v>
      </c>
      <c r="P134" s="1">
        <f>(Sales_Data[[#This Row],[Profit]]/Sales_Data[[#This Row],[Revenue]])</f>
        <v>0.34823568760800494</v>
      </c>
    </row>
    <row r="135" spans="1:16" x14ac:dyDescent="0.35">
      <c r="A135" t="s">
        <v>1277</v>
      </c>
      <c r="B135" s="5" t="s">
        <v>192</v>
      </c>
      <c r="C135" s="5" t="s">
        <v>184</v>
      </c>
      <c r="D135" s="5" t="str">
        <f>"Q"&amp;ROUNDUP(MONTH(B135)/3,0)</f>
        <v>Q1</v>
      </c>
      <c r="E135" t="s">
        <v>16</v>
      </c>
      <c r="F135" t="s">
        <v>52</v>
      </c>
      <c r="G135" t="s">
        <v>35</v>
      </c>
      <c r="H135" t="s">
        <v>59</v>
      </c>
      <c r="I135" t="s">
        <v>0</v>
      </c>
      <c r="J135" s="4">
        <v>7</v>
      </c>
      <c r="K135" s="3">
        <v>1515.97</v>
      </c>
      <c r="L135">
        <v>20</v>
      </c>
      <c r="M135" s="2">
        <v>8489.43</v>
      </c>
      <c r="N135" s="2">
        <v>6994.31</v>
      </c>
      <c r="O135" s="2">
        <v>1495.12</v>
      </c>
      <c r="P135" s="1">
        <f>(Sales_Data[[#This Row],[Profit]]/Sales_Data[[#This Row],[Revenue]])</f>
        <v>0.17611547536171449</v>
      </c>
    </row>
    <row r="136" spans="1:16" x14ac:dyDescent="0.35">
      <c r="A136" t="s">
        <v>1276</v>
      </c>
      <c r="B136" s="5" t="s">
        <v>1275</v>
      </c>
      <c r="C136" s="5" t="s">
        <v>184</v>
      </c>
      <c r="D136" s="5" t="str">
        <f>"Q"&amp;ROUNDUP(MONTH(B136)/3,0)</f>
        <v>Q1</v>
      </c>
      <c r="E136" t="s">
        <v>4</v>
      </c>
      <c r="F136" t="s">
        <v>11</v>
      </c>
      <c r="G136" t="s">
        <v>309</v>
      </c>
      <c r="H136" t="s">
        <v>78</v>
      </c>
      <c r="I136" t="s">
        <v>19</v>
      </c>
      <c r="J136" s="4">
        <v>7</v>
      </c>
      <c r="K136" s="3">
        <v>113.11</v>
      </c>
      <c r="L136">
        <v>20</v>
      </c>
      <c r="M136" s="2">
        <v>633.41999999999996</v>
      </c>
      <c r="N136" s="2">
        <v>457.22</v>
      </c>
      <c r="O136" s="2">
        <v>176.2</v>
      </c>
      <c r="P136" s="1">
        <f>(Sales_Data[[#This Row],[Profit]]/Sales_Data[[#This Row],[Revenue]])</f>
        <v>0.27817246061065326</v>
      </c>
    </row>
    <row r="137" spans="1:16" x14ac:dyDescent="0.35">
      <c r="A137" t="s">
        <v>1274</v>
      </c>
      <c r="B137" s="5" t="s">
        <v>818</v>
      </c>
      <c r="C137" s="5" t="s">
        <v>184</v>
      </c>
      <c r="D137" s="5" t="str">
        <f>"Q"&amp;ROUNDUP(MONTH(B137)/3,0)</f>
        <v>Q1</v>
      </c>
      <c r="E137" t="s">
        <v>16</v>
      </c>
      <c r="F137" t="s">
        <v>11</v>
      </c>
      <c r="G137" t="s">
        <v>35</v>
      </c>
      <c r="H137" t="s">
        <v>34</v>
      </c>
      <c r="I137" t="s">
        <v>8</v>
      </c>
      <c r="J137" s="4">
        <v>5</v>
      </c>
      <c r="K137" s="3">
        <v>25047.13</v>
      </c>
      <c r="L137">
        <v>20</v>
      </c>
      <c r="M137" s="2">
        <v>100188.52</v>
      </c>
      <c r="N137" s="2">
        <v>62353.59</v>
      </c>
      <c r="O137" s="2">
        <v>37834.93</v>
      </c>
      <c r="P137" s="1">
        <f>(Sales_Data[[#This Row],[Profit]]/Sales_Data[[#This Row],[Revenue]])</f>
        <v>0.37763737801496616</v>
      </c>
    </row>
    <row r="138" spans="1:16" x14ac:dyDescent="0.35">
      <c r="A138" t="s">
        <v>1273</v>
      </c>
      <c r="B138" s="5" t="s">
        <v>525</v>
      </c>
      <c r="C138" s="5" t="s">
        <v>184</v>
      </c>
      <c r="D138" s="5" t="str">
        <f>"Q"&amp;ROUNDUP(MONTH(B138)/3,0)</f>
        <v>Q1</v>
      </c>
      <c r="E138" t="s">
        <v>4</v>
      </c>
      <c r="F138" t="s">
        <v>56</v>
      </c>
      <c r="G138" t="s">
        <v>101</v>
      </c>
      <c r="H138" t="s">
        <v>34</v>
      </c>
      <c r="I138" t="s">
        <v>8</v>
      </c>
      <c r="J138" s="4">
        <v>5</v>
      </c>
      <c r="K138" s="3">
        <v>25829.87</v>
      </c>
      <c r="L138">
        <v>20</v>
      </c>
      <c r="M138" s="2">
        <v>103319.48</v>
      </c>
      <c r="N138" s="2">
        <v>65510.82</v>
      </c>
      <c r="O138" s="2">
        <v>37808.660000000003</v>
      </c>
      <c r="P138" s="1">
        <f>(Sales_Data[[#This Row],[Profit]]/Sales_Data[[#This Row],[Revenue]])</f>
        <v>0.36593931754205505</v>
      </c>
    </row>
    <row r="139" spans="1:16" x14ac:dyDescent="0.35">
      <c r="A139" t="s">
        <v>1272</v>
      </c>
      <c r="B139" s="5" t="s">
        <v>525</v>
      </c>
      <c r="C139" s="5" t="s">
        <v>184</v>
      </c>
      <c r="D139" s="5" t="str">
        <f>"Q"&amp;ROUNDUP(MONTH(B139)/3,0)</f>
        <v>Q1</v>
      </c>
      <c r="E139" t="s">
        <v>16</v>
      </c>
      <c r="F139" t="s">
        <v>56</v>
      </c>
      <c r="G139" t="s">
        <v>71</v>
      </c>
      <c r="H139" t="s">
        <v>78</v>
      </c>
      <c r="I139" t="s">
        <v>19</v>
      </c>
      <c r="J139" s="4">
        <v>8</v>
      </c>
      <c r="K139" s="3">
        <v>130.38</v>
      </c>
      <c r="L139">
        <v>20</v>
      </c>
      <c r="M139" s="2">
        <v>834.43</v>
      </c>
      <c r="N139" s="2">
        <v>554.34</v>
      </c>
      <c r="O139" s="2">
        <v>280.08999999999997</v>
      </c>
      <c r="P139" s="1">
        <f>(Sales_Data[[#This Row],[Profit]]/Sales_Data[[#This Row],[Revenue]])</f>
        <v>0.33566626319763193</v>
      </c>
    </row>
    <row r="140" spans="1:16" x14ac:dyDescent="0.35">
      <c r="A140" t="s">
        <v>1271</v>
      </c>
      <c r="B140" s="5" t="s">
        <v>210</v>
      </c>
      <c r="C140" s="5" t="s">
        <v>184</v>
      </c>
      <c r="D140" s="5" t="str">
        <f>"Q"&amp;ROUNDUP(MONTH(B140)/3,0)</f>
        <v>Q1</v>
      </c>
      <c r="E140" t="s">
        <v>16</v>
      </c>
      <c r="F140" t="s">
        <v>56</v>
      </c>
      <c r="G140" t="s">
        <v>147</v>
      </c>
      <c r="H140" t="s">
        <v>59</v>
      </c>
      <c r="I140" t="s">
        <v>0</v>
      </c>
      <c r="J140" s="4">
        <v>7</v>
      </c>
      <c r="K140" s="3">
        <v>1647.42</v>
      </c>
      <c r="L140">
        <v>20</v>
      </c>
      <c r="M140" s="2">
        <v>9225.5499999999993</v>
      </c>
      <c r="N140" s="2">
        <v>5914.73</v>
      </c>
      <c r="O140" s="2">
        <v>3310.82</v>
      </c>
      <c r="P140" s="1">
        <f>(Sales_Data[[#This Row],[Profit]]/Sales_Data[[#This Row],[Revenue]])</f>
        <v>0.35887508061849976</v>
      </c>
    </row>
    <row r="141" spans="1:16" x14ac:dyDescent="0.35">
      <c r="A141" t="s">
        <v>1270</v>
      </c>
      <c r="B141" s="5" t="s">
        <v>536</v>
      </c>
      <c r="C141" s="5" t="s">
        <v>184</v>
      </c>
      <c r="D141" s="5" t="str">
        <f>"Q"&amp;ROUNDUP(MONTH(B141)/3,0)</f>
        <v>Q1</v>
      </c>
      <c r="E141" t="s">
        <v>36</v>
      </c>
      <c r="F141" t="s">
        <v>11</v>
      </c>
      <c r="G141" t="s">
        <v>255</v>
      </c>
      <c r="H141" t="s">
        <v>111</v>
      </c>
      <c r="I141" t="s">
        <v>49</v>
      </c>
      <c r="J141" s="4">
        <v>8</v>
      </c>
      <c r="K141" s="3">
        <v>8519.4</v>
      </c>
      <c r="L141">
        <v>20</v>
      </c>
      <c r="M141" s="2">
        <v>54524.160000000003</v>
      </c>
      <c r="N141" s="2">
        <v>38796.410000000003</v>
      </c>
      <c r="O141" s="2">
        <v>15727.75</v>
      </c>
      <c r="P141" s="1">
        <f>(Sales_Data[[#This Row],[Profit]]/Sales_Data[[#This Row],[Revenue]])</f>
        <v>0.28845469604666996</v>
      </c>
    </row>
    <row r="142" spans="1:16" x14ac:dyDescent="0.35">
      <c r="A142" t="s">
        <v>1269</v>
      </c>
      <c r="B142" s="5" t="s">
        <v>832</v>
      </c>
      <c r="C142" s="5" t="s">
        <v>184</v>
      </c>
      <c r="D142" s="5" t="str">
        <f>"Q"&amp;ROUNDUP(MONTH(B142)/3,0)</f>
        <v>Q1</v>
      </c>
      <c r="E142" t="s">
        <v>36</v>
      </c>
      <c r="F142" t="s">
        <v>52</v>
      </c>
      <c r="G142" t="s">
        <v>166</v>
      </c>
      <c r="H142" t="s">
        <v>1</v>
      </c>
      <c r="I142" t="s">
        <v>0</v>
      </c>
      <c r="J142" s="4">
        <v>5</v>
      </c>
      <c r="K142" s="3">
        <v>479.15</v>
      </c>
      <c r="L142">
        <v>20</v>
      </c>
      <c r="M142" s="2">
        <v>1916.6</v>
      </c>
      <c r="N142" s="2">
        <v>1084.8900000000001</v>
      </c>
      <c r="O142" s="2">
        <v>831.71</v>
      </c>
      <c r="P142" s="1">
        <f>(Sales_Data[[#This Row],[Profit]]/Sales_Data[[#This Row],[Revenue]])</f>
        <v>0.43395074611290829</v>
      </c>
    </row>
    <row r="143" spans="1:16" x14ac:dyDescent="0.35">
      <c r="A143" t="s">
        <v>1268</v>
      </c>
      <c r="B143" s="5" t="s">
        <v>520</v>
      </c>
      <c r="C143" s="5" t="s">
        <v>184</v>
      </c>
      <c r="D143" s="5" t="str">
        <f>"Q"&amp;ROUNDUP(MONTH(B143)/3,0)</f>
        <v>Q1</v>
      </c>
      <c r="E143" t="s">
        <v>16</v>
      </c>
      <c r="F143" t="s">
        <v>52</v>
      </c>
      <c r="G143" t="s">
        <v>369</v>
      </c>
      <c r="H143" t="s">
        <v>111</v>
      </c>
      <c r="I143" t="s">
        <v>49</v>
      </c>
      <c r="J143" s="4">
        <v>3</v>
      </c>
      <c r="K143" s="3">
        <v>7515.28</v>
      </c>
      <c r="L143">
        <v>20</v>
      </c>
      <c r="M143" s="2">
        <v>18036.669999999998</v>
      </c>
      <c r="N143" s="2">
        <v>13012.88</v>
      </c>
      <c r="O143" s="2">
        <v>5023.79</v>
      </c>
      <c r="P143" s="1">
        <f>(Sales_Data[[#This Row],[Profit]]/Sales_Data[[#This Row],[Revenue]])</f>
        <v>0.27853201283829004</v>
      </c>
    </row>
    <row r="144" spans="1:16" x14ac:dyDescent="0.35">
      <c r="A144" t="s">
        <v>1267</v>
      </c>
      <c r="B144" s="5" t="s">
        <v>195</v>
      </c>
      <c r="C144" s="5" t="s">
        <v>184</v>
      </c>
      <c r="D144" s="5" t="str">
        <f>"Q"&amp;ROUNDUP(MONTH(B144)/3,0)</f>
        <v>Q1</v>
      </c>
      <c r="E144" t="s">
        <v>16</v>
      </c>
      <c r="F144" t="s">
        <v>63</v>
      </c>
      <c r="G144" t="s">
        <v>26</v>
      </c>
      <c r="H144" t="s">
        <v>45</v>
      </c>
      <c r="I144" t="s">
        <v>8</v>
      </c>
      <c r="J144" s="4">
        <v>3</v>
      </c>
      <c r="K144" s="3">
        <v>811.75</v>
      </c>
      <c r="L144">
        <v>20</v>
      </c>
      <c r="M144" s="2">
        <v>1948.2</v>
      </c>
      <c r="N144" s="2">
        <v>1240.0899999999999</v>
      </c>
      <c r="O144" s="2">
        <v>708.11</v>
      </c>
      <c r="P144" s="1">
        <f>(Sales_Data[[#This Row],[Profit]]/Sales_Data[[#This Row],[Revenue]])</f>
        <v>0.36346884303459603</v>
      </c>
    </row>
    <row r="145" spans="1:16" x14ac:dyDescent="0.35">
      <c r="A145" t="s">
        <v>1266</v>
      </c>
      <c r="B145" s="5" t="s">
        <v>195</v>
      </c>
      <c r="C145" s="5" t="s">
        <v>184</v>
      </c>
      <c r="D145" s="5" t="str">
        <f>"Q"&amp;ROUNDUP(MONTH(B145)/3,0)</f>
        <v>Q1</v>
      </c>
      <c r="E145" t="s">
        <v>4</v>
      </c>
      <c r="F145" t="s">
        <v>11</v>
      </c>
      <c r="G145" t="s">
        <v>128</v>
      </c>
      <c r="H145" t="s">
        <v>111</v>
      </c>
      <c r="I145" t="s">
        <v>49</v>
      </c>
      <c r="J145" s="4">
        <v>2</v>
      </c>
      <c r="K145" s="3">
        <v>7907.69</v>
      </c>
      <c r="L145">
        <v>20</v>
      </c>
      <c r="M145" s="2">
        <v>12652.3</v>
      </c>
      <c r="N145" s="2">
        <v>7194.51</v>
      </c>
      <c r="O145" s="2">
        <v>5457.79</v>
      </c>
      <c r="P145" s="1">
        <f>(Sales_Data[[#This Row],[Profit]]/Sales_Data[[#This Row],[Revenue]])</f>
        <v>0.43136741936248746</v>
      </c>
    </row>
    <row r="146" spans="1:16" x14ac:dyDescent="0.35">
      <c r="A146" t="s">
        <v>1265</v>
      </c>
      <c r="B146" s="5" t="s">
        <v>210</v>
      </c>
      <c r="C146" s="5" t="s">
        <v>184</v>
      </c>
      <c r="D146" s="5" t="str">
        <f>"Q"&amp;ROUNDUP(MONTH(B146)/3,0)</f>
        <v>Q1</v>
      </c>
      <c r="E146" t="s">
        <v>23</v>
      </c>
      <c r="F146" t="s">
        <v>3</v>
      </c>
      <c r="G146" t="s">
        <v>169</v>
      </c>
      <c r="H146" t="s">
        <v>20</v>
      </c>
      <c r="I146" t="s">
        <v>19</v>
      </c>
      <c r="J146" s="4">
        <v>3</v>
      </c>
      <c r="K146" s="3">
        <v>27.93</v>
      </c>
      <c r="L146">
        <v>20</v>
      </c>
      <c r="M146" s="2">
        <v>67.03</v>
      </c>
      <c r="N146" s="2">
        <v>47.46</v>
      </c>
      <c r="O146" s="2">
        <v>19.57</v>
      </c>
      <c r="P146" s="1">
        <f>(Sales_Data[[#This Row],[Profit]]/Sales_Data[[#This Row],[Revenue]])</f>
        <v>0.29195882440698195</v>
      </c>
    </row>
    <row r="147" spans="1:16" x14ac:dyDescent="0.35">
      <c r="A147" t="s">
        <v>1264</v>
      </c>
      <c r="B147" s="5" t="s">
        <v>818</v>
      </c>
      <c r="C147" s="5" t="s">
        <v>184</v>
      </c>
      <c r="D147" s="5" t="str">
        <f>"Q"&amp;ROUNDUP(MONTH(B147)/3,0)</f>
        <v>Q1</v>
      </c>
      <c r="E147" t="s">
        <v>23</v>
      </c>
      <c r="F147" t="s">
        <v>52</v>
      </c>
      <c r="G147" t="s">
        <v>142</v>
      </c>
      <c r="H147" t="s">
        <v>9</v>
      </c>
      <c r="I147" t="s">
        <v>8</v>
      </c>
      <c r="J147" s="4">
        <v>8</v>
      </c>
      <c r="K147" s="3">
        <v>58536.27</v>
      </c>
      <c r="L147">
        <v>20</v>
      </c>
      <c r="M147" s="2">
        <v>374632.13</v>
      </c>
      <c r="N147" s="2">
        <v>210024.12</v>
      </c>
      <c r="O147" s="2">
        <v>164608.01</v>
      </c>
      <c r="P147" s="1">
        <f>(Sales_Data[[#This Row],[Profit]]/Sales_Data[[#This Row],[Revenue]])</f>
        <v>0.43938572487095545</v>
      </c>
    </row>
    <row r="148" spans="1:16" x14ac:dyDescent="0.35">
      <c r="A148" t="s">
        <v>1263</v>
      </c>
      <c r="B148" s="5" t="s">
        <v>1049</v>
      </c>
      <c r="C148" s="5" t="s">
        <v>184</v>
      </c>
      <c r="D148" s="5" t="str">
        <f>"Q"&amp;ROUNDUP(MONTH(B148)/3,0)</f>
        <v>Q1</v>
      </c>
      <c r="E148" t="s">
        <v>16</v>
      </c>
      <c r="F148" t="s">
        <v>63</v>
      </c>
      <c r="G148" t="s">
        <v>15</v>
      </c>
      <c r="H148" t="s">
        <v>50</v>
      </c>
      <c r="I148" t="s">
        <v>49</v>
      </c>
      <c r="J148" s="4">
        <v>8</v>
      </c>
      <c r="K148" s="3">
        <v>4748.1400000000003</v>
      </c>
      <c r="L148">
        <v>20</v>
      </c>
      <c r="M148" s="2">
        <v>30388.1</v>
      </c>
      <c r="N148" s="2">
        <v>17339.68</v>
      </c>
      <c r="O148" s="2">
        <v>13048.42</v>
      </c>
      <c r="P148" s="1">
        <f>(Sales_Data[[#This Row],[Profit]]/Sales_Data[[#This Row],[Revenue]])</f>
        <v>0.4293924266406916</v>
      </c>
    </row>
    <row r="149" spans="1:16" x14ac:dyDescent="0.35">
      <c r="A149" t="s">
        <v>1262</v>
      </c>
      <c r="B149" s="5" t="s">
        <v>507</v>
      </c>
      <c r="C149" s="5" t="s">
        <v>151</v>
      </c>
      <c r="D149" s="5" t="str">
        <f>"Q"&amp;ROUNDUP(MONTH(B149)/3,0)</f>
        <v>Q2</v>
      </c>
      <c r="E149" t="s">
        <v>36</v>
      </c>
      <c r="F149" t="s">
        <v>3</v>
      </c>
      <c r="G149" t="s">
        <v>55</v>
      </c>
      <c r="H149" t="s">
        <v>9</v>
      </c>
      <c r="I149" t="s">
        <v>8</v>
      </c>
      <c r="J149" s="4">
        <v>7</v>
      </c>
      <c r="K149" s="3">
        <v>55931.92</v>
      </c>
      <c r="L149">
        <v>20</v>
      </c>
      <c r="M149" s="2">
        <v>313218.75</v>
      </c>
      <c r="N149" s="2">
        <v>251981.65</v>
      </c>
      <c r="O149" s="2">
        <v>61237.1</v>
      </c>
      <c r="P149" s="1">
        <f>(Sales_Data[[#This Row],[Profit]]/Sales_Data[[#This Row],[Revenue]])</f>
        <v>0.1955090491868702</v>
      </c>
    </row>
    <row r="150" spans="1:16" x14ac:dyDescent="0.35">
      <c r="A150" t="s">
        <v>1261</v>
      </c>
      <c r="B150" s="5" t="s">
        <v>492</v>
      </c>
      <c r="C150" s="5" t="s">
        <v>151</v>
      </c>
      <c r="D150" s="5" t="str">
        <f>"Q"&amp;ROUNDUP(MONTH(B150)/3,0)</f>
        <v>Q2</v>
      </c>
      <c r="E150" t="s">
        <v>4</v>
      </c>
      <c r="F150" t="s">
        <v>3</v>
      </c>
      <c r="G150" t="s">
        <v>42</v>
      </c>
      <c r="H150" t="s">
        <v>1</v>
      </c>
      <c r="I150" t="s">
        <v>0</v>
      </c>
      <c r="J150" s="4">
        <v>3</v>
      </c>
      <c r="K150" s="3">
        <v>500.34</v>
      </c>
      <c r="L150">
        <v>20</v>
      </c>
      <c r="M150" s="2">
        <v>1200.82</v>
      </c>
      <c r="N150" s="2">
        <v>796.24</v>
      </c>
      <c r="O150" s="2">
        <v>404.58</v>
      </c>
      <c r="P150" s="1">
        <f>(Sales_Data[[#This Row],[Profit]]/Sales_Data[[#This Row],[Revenue]])</f>
        <v>0.33691977148948221</v>
      </c>
    </row>
    <row r="151" spans="1:16" x14ac:dyDescent="0.35">
      <c r="A151" t="s">
        <v>1260</v>
      </c>
      <c r="B151" s="5" t="s">
        <v>809</v>
      </c>
      <c r="C151" s="5" t="s">
        <v>151</v>
      </c>
      <c r="D151" s="5" t="str">
        <f>"Q"&amp;ROUNDUP(MONTH(B151)/3,0)</f>
        <v>Q2</v>
      </c>
      <c r="E151" t="s">
        <v>23</v>
      </c>
      <c r="F151" t="s">
        <v>11</v>
      </c>
      <c r="G151" t="s">
        <v>124</v>
      </c>
      <c r="H151" t="s">
        <v>45</v>
      </c>
      <c r="I151" t="s">
        <v>8</v>
      </c>
      <c r="J151" s="4">
        <v>1</v>
      </c>
      <c r="K151" s="3">
        <v>899.51</v>
      </c>
      <c r="L151">
        <v>20</v>
      </c>
      <c r="M151" s="2">
        <v>719.61</v>
      </c>
      <c r="N151" s="2">
        <v>462.9</v>
      </c>
      <c r="O151" s="2">
        <v>256.70999999999998</v>
      </c>
      <c r="P151" s="1">
        <f>(Sales_Data[[#This Row],[Profit]]/Sales_Data[[#This Row],[Revenue]])</f>
        <v>0.35673489806978775</v>
      </c>
    </row>
    <row r="152" spans="1:16" x14ac:dyDescent="0.35">
      <c r="A152" t="s">
        <v>1259</v>
      </c>
      <c r="B152" s="5" t="s">
        <v>492</v>
      </c>
      <c r="C152" s="5" t="s">
        <v>151</v>
      </c>
      <c r="D152" s="5" t="str">
        <f>"Q"&amp;ROUNDUP(MONTH(B152)/3,0)</f>
        <v>Q2</v>
      </c>
      <c r="E152" t="s">
        <v>36</v>
      </c>
      <c r="F152" t="s">
        <v>3</v>
      </c>
      <c r="G152" t="s">
        <v>39</v>
      </c>
      <c r="H152" t="s">
        <v>50</v>
      </c>
      <c r="I152" t="s">
        <v>49</v>
      </c>
      <c r="J152" s="4">
        <v>4</v>
      </c>
      <c r="K152" s="3">
        <v>4312.58</v>
      </c>
      <c r="L152">
        <v>20</v>
      </c>
      <c r="M152" s="2">
        <v>13800.26</v>
      </c>
      <c r="N152" s="2">
        <v>9897.51</v>
      </c>
      <c r="O152" s="2">
        <v>3902.75</v>
      </c>
      <c r="P152" s="1">
        <f>(Sales_Data[[#This Row],[Profit]]/Sales_Data[[#This Row],[Revenue]])</f>
        <v>0.28280264284875789</v>
      </c>
    </row>
    <row r="153" spans="1:16" x14ac:dyDescent="0.35">
      <c r="A153" t="s">
        <v>1258</v>
      </c>
      <c r="B153" s="5" t="s">
        <v>178</v>
      </c>
      <c r="C153" s="5" t="s">
        <v>151</v>
      </c>
      <c r="D153" s="5" t="str">
        <f>"Q"&amp;ROUNDUP(MONTH(B153)/3,0)</f>
        <v>Q2</v>
      </c>
      <c r="E153" t="s">
        <v>36</v>
      </c>
      <c r="F153" t="s">
        <v>63</v>
      </c>
      <c r="G153" t="s">
        <v>220</v>
      </c>
      <c r="H153" t="s">
        <v>50</v>
      </c>
      <c r="I153" t="s">
        <v>49</v>
      </c>
      <c r="J153" s="4">
        <v>3</v>
      </c>
      <c r="K153" s="3">
        <v>4772.59</v>
      </c>
      <c r="L153">
        <v>20</v>
      </c>
      <c r="M153" s="2">
        <v>11454.22</v>
      </c>
      <c r="N153" s="2">
        <v>9125.5400000000009</v>
      </c>
      <c r="O153" s="2">
        <v>2328.6799999999998</v>
      </c>
      <c r="P153" s="1">
        <f>(Sales_Data[[#This Row],[Profit]]/Sales_Data[[#This Row],[Revenue]])</f>
        <v>0.2033032367110113</v>
      </c>
    </row>
    <row r="154" spans="1:16" x14ac:dyDescent="0.35">
      <c r="A154" t="s">
        <v>1257</v>
      </c>
      <c r="B154" s="5" t="s">
        <v>512</v>
      </c>
      <c r="C154" s="5" t="s">
        <v>151</v>
      </c>
      <c r="D154" s="5" t="str">
        <f>"Q"&amp;ROUNDUP(MONTH(B154)/3,0)</f>
        <v>Q2</v>
      </c>
      <c r="E154" t="s">
        <v>16</v>
      </c>
      <c r="F154" t="s">
        <v>3</v>
      </c>
      <c r="G154" t="s">
        <v>369</v>
      </c>
      <c r="H154" t="s">
        <v>34</v>
      </c>
      <c r="I154" t="s">
        <v>8</v>
      </c>
      <c r="J154" s="4">
        <v>5</v>
      </c>
      <c r="K154" s="3">
        <v>24215.119999999999</v>
      </c>
      <c r="L154">
        <v>20</v>
      </c>
      <c r="M154" s="2">
        <v>96860.479999999996</v>
      </c>
      <c r="N154" s="2">
        <v>61073.63</v>
      </c>
      <c r="O154" s="2">
        <v>35786.85</v>
      </c>
      <c r="P154" s="1">
        <f>(Sales_Data[[#This Row],[Profit]]/Sales_Data[[#This Row],[Revenue]])</f>
        <v>0.36946802245869526</v>
      </c>
    </row>
    <row r="155" spans="1:16" x14ac:dyDescent="0.35">
      <c r="A155" t="s">
        <v>1256</v>
      </c>
      <c r="B155" s="5" t="s">
        <v>494</v>
      </c>
      <c r="C155" s="5" t="s">
        <v>151</v>
      </c>
      <c r="D155" s="5" t="str">
        <f>"Q"&amp;ROUNDUP(MONTH(B155)/3,0)</f>
        <v>Q2</v>
      </c>
      <c r="E155" t="s">
        <v>36</v>
      </c>
      <c r="F155" t="s">
        <v>22</v>
      </c>
      <c r="G155" t="s">
        <v>68</v>
      </c>
      <c r="H155" t="s">
        <v>20</v>
      </c>
      <c r="I155" t="s">
        <v>19</v>
      </c>
      <c r="J155" s="4">
        <v>4</v>
      </c>
      <c r="K155" s="3">
        <v>32.14</v>
      </c>
      <c r="L155">
        <v>20</v>
      </c>
      <c r="M155" s="2">
        <v>102.85</v>
      </c>
      <c r="N155" s="2">
        <v>58.99</v>
      </c>
      <c r="O155" s="2">
        <v>43.86</v>
      </c>
      <c r="P155" s="1">
        <f>(Sales_Data[[#This Row],[Profit]]/Sales_Data[[#This Row],[Revenue]])</f>
        <v>0.42644628099173554</v>
      </c>
    </row>
    <row r="156" spans="1:16" x14ac:dyDescent="0.35">
      <c r="A156" t="s">
        <v>1255</v>
      </c>
      <c r="B156" s="5" t="s">
        <v>488</v>
      </c>
      <c r="C156" s="5" t="s">
        <v>151</v>
      </c>
      <c r="D156" s="5" t="str">
        <f>"Q"&amp;ROUNDUP(MONTH(B156)/3,0)</f>
        <v>Q2</v>
      </c>
      <c r="E156" t="s">
        <v>23</v>
      </c>
      <c r="F156" t="s">
        <v>11</v>
      </c>
      <c r="G156" t="s">
        <v>238</v>
      </c>
      <c r="H156" t="s">
        <v>1</v>
      </c>
      <c r="I156" t="s">
        <v>0</v>
      </c>
      <c r="J156" s="4">
        <v>2</v>
      </c>
      <c r="K156" s="3">
        <v>466.69</v>
      </c>
      <c r="L156">
        <v>20</v>
      </c>
      <c r="M156" s="2">
        <v>746.7</v>
      </c>
      <c r="N156" s="2">
        <v>633.5</v>
      </c>
      <c r="O156" s="2">
        <v>113.2</v>
      </c>
      <c r="P156" s="1">
        <f>(Sales_Data[[#This Row],[Profit]]/Sales_Data[[#This Row],[Revenue]])</f>
        <v>0.15160037498325968</v>
      </c>
    </row>
    <row r="157" spans="1:16" x14ac:dyDescent="0.35">
      <c r="A157" t="s">
        <v>1254</v>
      </c>
      <c r="B157" s="5" t="s">
        <v>497</v>
      </c>
      <c r="C157" s="5" t="s">
        <v>151</v>
      </c>
      <c r="D157" s="5" t="str">
        <f>"Q"&amp;ROUNDUP(MONTH(B157)/3,0)</f>
        <v>Q2</v>
      </c>
      <c r="E157" t="s">
        <v>23</v>
      </c>
      <c r="F157" t="s">
        <v>52</v>
      </c>
      <c r="G157" t="s">
        <v>369</v>
      </c>
      <c r="H157" t="s">
        <v>20</v>
      </c>
      <c r="I157" t="s">
        <v>19</v>
      </c>
      <c r="J157" s="4">
        <v>6</v>
      </c>
      <c r="K157" s="3">
        <v>27.66</v>
      </c>
      <c r="L157">
        <v>20</v>
      </c>
      <c r="M157" s="2">
        <v>132.77000000000001</v>
      </c>
      <c r="N157" s="2">
        <v>110.5</v>
      </c>
      <c r="O157" s="2">
        <v>22.27</v>
      </c>
      <c r="P157" s="1">
        <f>(Sales_Data[[#This Row],[Profit]]/Sales_Data[[#This Row],[Revenue]])</f>
        <v>0.16773367477592829</v>
      </c>
    </row>
    <row r="158" spans="1:16" x14ac:dyDescent="0.35">
      <c r="A158" t="s">
        <v>1253</v>
      </c>
      <c r="B158" s="5" t="s">
        <v>172</v>
      </c>
      <c r="C158" s="5" t="s">
        <v>151</v>
      </c>
      <c r="D158" s="5" t="str">
        <f>"Q"&amp;ROUNDUP(MONTH(B158)/3,0)</f>
        <v>Q2</v>
      </c>
      <c r="E158" t="s">
        <v>23</v>
      </c>
      <c r="F158" t="s">
        <v>11</v>
      </c>
      <c r="G158" t="s">
        <v>66</v>
      </c>
      <c r="H158" t="s">
        <v>45</v>
      </c>
      <c r="I158" t="s">
        <v>8</v>
      </c>
      <c r="J158" s="4">
        <v>1</v>
      </c>
      <c r="K158" s="3">
        <v>989.38</v>
      </c>
      <c r="L158">
        <v>20</v>
      </c>
      <c r="M158" s="2">
        <v>791.5</v>
      </c>
      <c r="N158" s="2">
        <v>576.65</v>
      </c>
      <c r="O158" s="2">
        <v>214.85</v>
      </c>
      <c r="P158" s="1">
        <f>(Sales_Data[[#This Row],[Profit]]/Sales_Data[[#This Row],[Revenue]])</f>
        <v>0.27144662034112443</v>
      </c>
    </row>
    <row r="159" spans="1:16" x14ac:dyDescent="0.35">
      <c r="A159" t="s">
        <v>1252</v>
      </c>
      <c r="B159" s="5" t="s">
        <v>1251</v>
      </c>
      <c r="C159" s="5" t="s">
        <v>151</v>
      </c>
      <c r="D159" s="5" t="str">
        <f>"Q"&amp;ROUNDUP(MONTH(B159)/3,0)</f>
        <v>Q2</v>
      </c>
      <c r="E159" t="s">
        <v>4</v>
      </c>
      <c r="F159" t="s">
        <v>52</v>
      </c>
      <c r="G159" t="s">
        <v>101</v>
      </c>
      <c r="H159" t="s">
        <v>45</v>
      </c>
      <c r="I159" t="s">
        <v>8</v>
      </c>
      <c r="J159" s="4">
        <v>3</v>
      </c>
      <c r="K159" s="3">
        <v>956.51</v>
      </c>
      <c r="L159">
        <v>20</v>
      </c>
      <c r="M159" s="2">
        <v>2295.62</v>
      </c>
      <c r="N159" s="2">
        <v>1578.97</v>
      </c>
      <c r="O159" s="2">
        <v>716.65</v>
      </c>
      <c r="P159" s="1">
        <f>(Sales_Data[[#This Row],[Profit]]/Sales_Data[[#This Row],[Revenue]])</f>
        <v>0.31218145860377589</v>
      </c>
    </row>
    <row r="160" spans="1:16" x14ac:dyDescent="0.35">
      <c r="A160" t="s">
        <v>1250</v>
      </c>
      <c r="B160" s="5" t="s">
        <v>807</v>
      </c>
      <c r="C160" s="5" t="s">
        <v>151</v>
      </c>
      <c r="D160" s="5" t="str">
        <f>"Q"&amp;ROUNDUP(MONTH(B160)/3,0)</f>
        <v>Q2</v>
      </c>
      <c r="E160" t="s">
        <v>36</v>
      </c>
      <c r="F160" t="s">
        <v>22</v>
      </c>
      <c r="G160" t="s">
        <v>128</v>
      </c>
      <c r="H160" t="s">
        <v>45</v>
      </c>
      <c r="I160" t="s">
        <v>8</v>
      </c>
      <c r="J160" s="4">
        <v>5</v>
      </c>
      <c r="K160" s="3">
        <v>913.65</v>
      </c>
      <c r="L160">
        <v>20</v>
      </c>
      <c r="M160" s="2">
        <v>3654.6</v>
      </c>
      <c r="N160" s="2">
        <v>3034.94</v>
      </c>
      <c r="O160" s="2">
        <v>619.66</v>
      </c>
      <c r="P160" s="1">
        <f>(Sales_Data[[#This Row],[Profit]]/Sales_Data[[#This Row],[Revenue]])</f>
        <v>0.16955617577847096</v>
      </c>
    </row>
    <row r="161" spans="1:16" x14ac:dyDescent="0.35">
      <c r="A161" t="s">
        <v>1249</v>
      </c>
      <c r="B161" s="5" t="s">
        <v>499</v>
      </c>
      <c r="C161" s="5" t="s">
        <v>151</v>
      </c>
      <c r="D161" s="5" t="str">
        <f>"Q"&amp;ROUNDUP(MONTH(B161)/3,0)</f>
        <v>Q2</v>
      </c>
      <c r="E161" t="s">
        <v>16</v>
      </c>
      <c r="F161" t="s">
        <v>63</v>
      </c>
      <c r="G161" t="s">
        <v>108</v>
      </c>
      <c r="H161" t="s">
        <v>14</v>
      </c>
      <c r="I161" t="s">
        <v>8</v>
      </c>
      <c r="J161" s="4">
        <v>7</v>
      </c>
      <c r="K161" s="3">
        <v>2464.5500000000002</v>
      </c>
      <c r="L161">
        <v>20</v>
      </c>
      <c r="M161" s="2">
        <v>13801.48</v>
      </c>
      <c r="N161" s="2">
        <v>10469.49</v>
      </c>
      <c r="O161" s="2">
        <v>3331.99</v>
      </c>
      <c r="P161" s="1">
        <f>(Sales_Data[[#This Row],[Profit]]/Sales_Data[[#This Row],[Revenue]])</f>
        <v>0.24142265901917764</v>
      </c>
    </row>
    <row r="162" spans="1:16" x14ac:dyDescent="0.35">
      <c r="A162" t="s">
        <v>1248</v>
      </c>
      <c r="B162" s="5" t="s">
        <v>796</v>
      </c>
      <c r="C162" s="5" t="s">
        <v>151</v>
      </c>
      <c r="D162" s="5" t="str">
        <f>"Q"&amp;ROUNDUP(MONTH(B162)/3,0)</f>
        <v>Q2</v>
      </c>
      <c r="E162" t="s">
        <v>23</v>
      </c>
      <c r="F162" t="s">
        <v>3</v>
      </c>
      <c r="G162" t="s">
        <v>108</v>
      </c>
      <c r="H162" t="s">
        <v>9</v>
      </c>
      <c r="I162" t="s">
        <v>8</v>
      </c>
      <c r="J162" s="4">
        <v>5</v>
      </c>
      <c r="K162" s="3">
        <v>63078.81</v>
      </c>
      <c r="L162">
        <v>20</v>
      </c>
      <c r="M162" s="2">
        <v>252315.24</v>
      </c>
      <c r="N162" s="2">
        <v>185261.12</v>
      </c>
      <c r="O162" s="2">
        <v>67054.12</v>
      </c>
      <c r="P162" s="1">
        <f>(Sales_Data[[#This Row],[Profit]]/Sales_Data[[#This Row],[Revenue]])</f>
        <v>0.2657553305143201</v>
      </c>
    </row>
    <row r="163" spans="1:16" x14ac:dyDescent="0.35">
      <c r="A163" t="s">
        <v>1247</v>
      </c>
      <c r="B163" s="5" t="s">
        <v>796</v>
      </c>
      <c r="C163" s="5" t="s">
        <v>151</v>
      </c>
      <c r="D163" s="5" t="str">
        <f>"Q"&amp;ROUNDUP(MONTH(B163)/3,0)</f>
        <v>Q2</v>
      </c>
      <c r="E163" t="s">
        <v>4</v>
      </c>
      <c r="F163" t="s">
        <v>22</v>
      </c>
      <c r="G163" t="s">
        <v>124</v>
      </c>
      <c r="H163" t="s">
        <v>78</v>
      </c>
      <c r="I163" t="s">
        <v>19</v>
      </c>
      <c r="J163" s="4">
        <v>5</v>
      </c>
      <c r="K163" s="3">
        <v>128.63999999999999</v>
      </c>
      <c r="L163">
        <v>20</v>
      </c>
      <c r="M163" s="2">
        <v>514.55999999999995</v>
      </c>
      <c r="N163" s="2">
        <v>311.74</v>
      </c>
      <c r="O163" s="2">
        <v>202.82</v>
      </c>
      <c r="P163" s="1">
        <f>(Sales_Data[[#This Row],[Profit]]/Sales_Data[[#This Row],[Revenue]])</f>
        <v>0.39416200248756222</v>
      </c>
    </row>
    <row r="164" spans="1:16" x14ac:dyDescent="0.35">
      <c r="A164" t="s">
        <v>1246</v>
      </c>
      <c r="B164" s="5" t="s">
        <v>507</v>
      </c>
      <c r="C164" s="5" t="s">
        <v>151</v>
      </c>
      <c r="D164" s="5" t="str">
        <f>"Q"&amp;ROUNDUP(MONTH(B164)/3,0)</f>
        <v>Q2</v>
      </c>
      <c r="E164" t="s">
        <v>23</v>
      </c>
      <c r="F164" t="s">
        <v>22</v>
      </c>
      <c r="G164" t="s">
        <v>116</v>
      </c>
      <c r="H164" t="s">
        <v>111</v>
      </c>
      <c r="I164" t="s">
        <v>49</v>
      </c>
      <c r="J164" s="4">
        <v>7</v>
      </c>
      <c r="K164" s="3">
        <v>7541.44</v>
      </c>
      <c r="L164">
        <v>20</v>
      </c>
      <c r="M164" s="2">
        <v>42232.06</v>
      </c>
      <c r="N164" s="2">
        <v>33629.79</v>
      </c>
      <c r="O164" s="2">
        <v>8602.27</v>
      </c>
      <c r="P164" s="1">
        <f>(Sales_Data[[#This Row],[Profit]]/Sales_Data[[#This Row],[Revenue]])</f>
        <v>0.20369051379449643</v>
      </c>
    </row>
    <row r="165" spans="1:16" x14ac:dyDescent="0.35">
      <c r="A165" t="s">
        <v>1245</v>
      </c>
      <c r="B165" s="5" t="s">
        <v>1030</v>
      </c>
      <c r="C165" s="5" t="s">
        <v>151</v>
      </c>
      <c r="D165" s="5" t="str">
        <f>"Q"&amp;ROUNDUP(MONTH(B165)/3,0)</f>
        <v>Q2</v>
      </c>
      <c r="E165" t="s">
        <v>4</v>
      </c>
      <c r="F165" t="s">
        <v>22</v>
      </c>
      <c r="G165" t="s">
        <v>85</v>
      </c>
      <c r="H165" t="s">
        <v>9</v>
      </c>
      <c r="I165" t="s">
        <v>8</v>
      </c>
      <c r="J165" s="4">
        <v>8</v>
      </c>
      <c r="K165" s="3">
        <v>64766.15</v>
      </c>
      <c r="L165">
        <v>20</v>
      </c>
      <c r="M165" s="2">
        <v>414503.36</v>
      </c>
      <c r="N165" s="2">
        <v>244796.98</v>
      </c>
      <c r="O165" s="2">
        <v>169706.38</v>
      </c>
      <c r="P165" s="1">
        <f>(Sales_Data[[#This Row],[Profit]]/Sales_Data[[#This Row],[Revenue]])</f>
        <v>0.40942099962712003</v>
      </c>
    </row>
    <row r="166" spans="1:16" x14ac:dyDescent="0.35">
      <c r="A166" t="s">
        <v>1244</v>
      </c>
      <c r="B166" s="5" t="s">
        <v>796</v>
      </c>
      <c r="C166" s="5" t="s">
        <v>151</v>
      </c>
      <c r="D166" s="5" t="str">
        <f>"Q"&amp;ROUNDUP(MONTH(B166)/3,0)</f>
        <v>Q2</v>
      </c>
      <c r="E166" t="s">
        <v>23</v>
      </c>
      <c r="F166" t="s">
        <v>56</v>
      </c>
      <c r="G166" t="s">
        <v>108</v>
      </c>
      <c r="H166" t="s">
        <v>14</v>
      </c>
      <c r="I166" t="s">
        <v>8</v>
      </c>
      <c r="J166" s="4">
        <v>8</v>
      </c>
      <c r="K166" s="3">
        <v>2344.89</v>
      </c>
      <c r="L166">
        <v>20</v>
      </c>
      <c r="M166" s="2">
        <v>15007.3</v>
      </c>
      <c r="N166" s="2">
        <v>10966.09</v>
      </c>
      <c r="O166" s="2">
        <v>4041.21</v>
      </c>
      <c r="P166" s="1">
        <f>(Sales_Data[[#This Row],[Profit]]/Sales_Data[[#This Row],[Revenue]])</f>
        <v>0.26928294896483712</v>
      </c>
    </row>
    <row r="167" spans="1:16" x14ac:dyDescent="0.35">
      <c r="A167" t="s">
        <v>1243</v>
      </c>
      <c r="B167" s="5" t="s">
        <v>178</v>
      </c>
      <c r="C167" s="5" t="s">
        <v>151</v>
      </c>
      <c r="D167" s="5" t="str">
        <f>"Q"&amp;ROUNDUP(MONTH(B167)/3,0)</f>
        <v>Q2</v>
      </c>
      <c r="E167" t="s">
        <v>4</v>
      </c>
      <c r="F167" t="s">
        <v>22</v>
      </c>
      <c r="G167" t="s">
        <v>104</v>
      </c>
      <c r="H167" t="s">
        <v>111</v>
      </c>
      <c r="I167" t="s">
        <v>49</v>
      </c>
      <c r="J167" s="4">
        <v>4</v>
      </c>
      <c r="K167" s="3">
        <v>8544.5300000000007</v>
      </c>
      <c r="L167">
        <v>20</v>
      </c>
      <c r="M167" s="2">
        <v>27342.5</v>
      </c>
      <c r="N167" s="2">
        <v>17809.98</v>
      </c>
      <c r="O167" s="2">
        <v>9532.52</v>
      </c>
      <c r="P167" s="1">
        <f>(Sales_Data[[#This Row],[Profit]]/Sales_Data[[#This Row],[Revenue]])</f>
        <v>0.34863381183139802</v>
      </c>
    </row>
    <row r="168" spans="1:16" x14ac:dyDescent="0.35">
      <c r="A168" t="s">
        <v>1242</v>
      </c>
      <c r="B168" s="5" t="s">
        <v>488</v>
      </c>
      <c r="C168" s="5" t="s">
        <v>151</v>
      </c>
      <c r="D168" s="5" t="str">
        <f>"Q"&amp;ROUNDUP(MONTH(B168)/3,0)</f>
        <v>Q2</v>
      </c>
      <c r="E168" t="s">
        <v>23</v>
      </c>
      <c r="F168" t="s">
        <v>52</v>
      </c>
      <c r="G168" t="s">
        <v>35</v>
      </c>
      <c r="H168" t="s">
        <v>59</v>
      </c>
      <c r="I168" t="s">
        <v>0</v>
      </c>
      <c r="J168" s="4">
        <v>5</v>
      </c>
      <c r="K168" s="3">
        <v>1635.54</v>
      </c>
      <c r="L168">
        <v>20</v>
      </c>
      <c r="M168" s="2">
        <v>6542.16</v>
      </c>
      <c r="N168" s="2">
        <v>3910.59</v>
      </c>
      <c r="O168" s="2">
        <v>2631.57</v>
      </c>
      <c r="P168" s="1">
        <f>(Sales_Data[[#This Row],[Profit]]/Sales_Data[[#This Row],[Revenue]])</f>
        <v>0.40224788143365497</v>
      </c>
    </row>
    <row r="169" spans="1:16" x14ac:dyDescent="0.35">
      <c r="A169" t="s">
        <v>1241</v>
      </c>
      <c r="B169" s="5" t="s">
        <v>156</v>
      </c>
      <c r="C169" s="5" t="s">
        <v>151</v>
      </c>
      <c r="D169" s="5" t="str">
        <f>"Q"&amp;ROUNDUP(MONTH(B169)/3,0)</f>
        <v>Q2</v>
      </c>
      <c r="E169" t="s">
        <v>36</v>
      </c>
      <c r="F169" t="s">
        <v>3</v>
      </c>
      <c r="G169" t="s">
        <v>118</v>
      </c>
      <c r="H169" t="s">
        <v>78</v>
      </c>
      <c r="I169" t="s">
        <v>19</v>
      </c>
      <c r="J169" s="4">
        <v>2</v>
      </c>
      <c r="K169" s="3">
        <v>114.19</v>
      </c>
      <c r="L169">
        <v>20</v>
      </c>
      <c r="M169" s="2">
        <v>182.7</v>
      </c>
      <c r="N169" s="2">
        <v>133.62</v>
      </c>
      <c r="O169" s="2">
        <v>49.08</v>
      </c>
      <c r="P169" s="1">
        <f>(Sales_Data[[#This Row],[Profit]]/Sales_Data[[#This Row],[Revenue]])</f>
        <v>0.26863711001642038</v>
      </c>
    </row>
    <row r="170" spans="1:16" x14ac:dyDescent="0.35">
      <c r="A170" t="s">
        <v>1240</v>
      </c>
      <c r="B170" s="5" t="s">
        <v>467</v>
      </c>
      <c r="C170" s="5" t="s">
        <v>125</v>
      </c>
      <c r="D170" s="5" t="str">
        <f>"Q"&amp;ROUNDUP(MONTH(B170)/3,0)</f>
        <v>Q4</v>
      </c>
      <c r="E170" t="s">
        <v>4</v>
      </c>
      <c r="F170" t="s">
        <v>3</v>
      </c>
      <c r="G170" t="s">
        <v>108</v>
      </c>
      <c r="H170" t="s">
        <v>34</v>
      </c>
      <c r="I170" t="s">
        <v>8</v>
      </c>
      <c r="J170" s="4">
        <v>1</v>
      </c>
      <c r="K170" s="3">
        <v>26856.42</v>
      </c>
      <c r="L170">
        <v>20</v>
      </c>
      <c r="M170" s="2">
        <v>21485.14</v>
      </c>
      <c r="N170" s="2">
        <v>17700.05</v>
      </c>
      <c r="O170" s="2">
        <v>3785.09</v>
      </c>
      <c r="P170" s="1">
        <f>(Sales_Data[[#This Row],[Profit]]/Sales_Data[[#This Row],[Revenue]])</f>
        <v>0.17617246152457003</v>
      </c>
    </row>
    <row r="171" spans="1:16" x14ac:dyDescent="0.35">
      <c r="A171" t="s">
        <v>1239</v>
      </c>
      <c r="B171" s="5" t="s">
        <v>774</v>
      </c>
      <c r="C171" s="5" t="s">
        <v>125</v>
      </c>
      <c r="D171" s="5" t="str">
        <f>"Q"&amp;ROUNDUP(MONTH(B171)/3,0)</f>
        <v>Q4</v>
      </c>
      <c r="E171" t="s">
        <v>36</v>
      </c>
      <c r="F171" t="s">
        <v>22</v>
      </c>
      <c r="G171" t="s">
        <v>68</v>
      </c>
      <c r="H171" t="s">
        <v>34</v>
      </c>
      <c r="I171" t="s">
        <v>8</v>
      </c>
      <c r="J171" s="4">
        <v>7</v>
      </c>
      <c r="K171" s="3">
        <v>26613.39</v>
      </c>
      <c r="L171">
        <v>20</v>
      </c>
      <c r="M171" s="2">
        <v>149034.98000000001</v>
      </c>
      <c r="N171" s="2">
        <v>97559.08</v>
      </c>
      <c r="O171" s="2">
        <v>51475.9</v>
      </c>
      <c r="P171" s="1">
        <f>(Sales_Data[[#This Row],[Profit]]/Sales_Data[[#This Row],[Revenue]])</f>
        <v>0.34539475229238126</v>
      </c>
    </row>
    <row r="172" spans="1:16" x14ac:dyDescent="0.35">
      <c r="A172" t="s">
        <v>1238</v>
      </c>
      <c r="B172" s="5" t="s">
        <v>138</v>
      </c>
      <c r="C172" s="5" t="s">
        <v>125</v>
      </c>
      <c r="D172" s="5" t="str">
        <f>"Q"&amp;ROUNDUP(MONTH(B172)/3,0)</f>
        <v>Q4</v>
      </c>
      <c r="E172" t="s">
        <v>23</v>
      </c>
      <c r="F172" t="s">
        <v>22</v>
      </c>
      <c r="G172" t="s">
        <v>294</v>
      </c>
      <c r="H172" t="s">
        <v>9</v>
      </c>
      <c r="I172" t="s">
        <v>8</v>
      </c>
      <c r="J172" s="4">
        <v>4</v>
      </c>
      <c r="K172" s="3">
        <v>54272.34</v>
      </c>
      <c r="L172">
        <v>20</v>
      </c>
      <c r="M172" s="2">
        <v>173671.49</v>
      </c>
      <c r="N172" s="2">
        <v>103565.57</v>
      </c>
      <c r="O172" s="2">
        <v>70105.919999999998</v>
      </c>
      <c r="P172" s="1">
        <f>(Sales_Data[[#This Row],[Profit]]/Sales_Data[[#This Row],[Revenue]])</f>
        <v>0.40366970997945606</v>
      </c>
    </row>
    <row r="173" spans="1:16" x14ac:dyDescent="0.35">
      <c r="A173" t="s">
        <v>1237</v>
      </c>
      <c r="B173" s="5" t="s">
        <v>791</v>
      </c>
      <c r="C173" s="5" t="s">
        <v>125</v>
      </c>
      <c r="D173" s="5" t="str">
        <f>"Q"&amp;ROUNDUP(MONTH(B173)/3,0)</f>
        <v>Q4</v>
      </c>
      <c r="E173" t="s">
        <v>16</v>
      </c>
      <c r="F173" t="s">
        <v>3</v>
      </c>
      <c r="G173" t="s">
        <v>71</v>
      </c>
      <c r="H173" t="s">
        <v>14</v>
      </c>
      <c r="I173" t="s">
        <v>8</v>
      </c>
      <c r="J173" s="4">
        <v>3</v>
      </c>
      <c r="K173" s="3">
        <v>2425.62</v>
      </c>
      <c r="L173">
        <v>20</v>
      </c>
      <c r="M173" s="2">
        <v>5821.49</v>
      </c>
      <c r="N173" s="2">
        <v>3509.88</v>
      </c>
      <c r="O173" s="2">
        <v>2311.61</v>
      </c>
      <c r="P173" s="1">
        <f>(Sales_Data[[#This Row],[Profit]]/Sales_Data[[#This Row],[Revenue]])</f>
        <v>0.39708219029836006</v>
      </c>
    </row>
    <row r="174" spans="1:16" x14ac:dyDescent="0.35">
      <c r="A174" t="s">
        <v>1236</v>
      </c>
      <c r="B174" s="5" t="s">
        <v>485</v>
      </c>
      <c r="C174" s="5" t="s">
        <v>125</v>
      </c>
      <c r="D174" s="5" t="str">
        <f>"Q"&amp;ROUNDUP(MONTH(B174)/3,0)</f>
        <v>Q4</v>
      </c>
      <c r="E174" t="s">
        <v>16</v>
      </c>
      <c r="F174" t="s">
        <v>22</v>
      </c>
      <c r="G174" t="s">
        <v>112</v>
      </c>
      <c r="H174" t="s">
        <v>45</v>
      </c>
      <c r="I174" t="s">
        <v>8</v>
      </c>
      <c r="J174" s="4">
        <v>4</v>
      </c>
      <c r="K174" s="3">
        <v>946.19</v>
      </c>
      <c r="L174">
        <v>20</v>
      </c>
      <c r="M174" s="2">
        <v>3027.81</v>
      </c>
      <c r="N174" s="2">
        <v>2323.4899999999998</v>
      </c>
      <c r="O174" s="2">
        <v>704.32</v>
      </c>
      <c r="P174" s="1">
        <f>(Sales_Data[[#This Row],[Profit]]/Sales_Data[[#This Row],[Revenue]])</f>
        <v>0.23261697398449707</v>
      </c>
    </row>
    <row r="175" spans="1:16" x14ac:dyDescent="0.35">
      <c r="A175" t="s">
        <v>1235</v>
      </c>
      <c r="B175" s="5" t="s">
        <v>776</v>
      </c>
      <c r="C175" s="5" t="s">
        <v>125</v>
      </c>
      <c r="D175" s="5" t="str">
        <f>"Q"&amp;ROUNDUP(MONTH(B175)/3,0)</f>
        <v>Q4</v>
      </c>
      <c r="E175" t="s">
        <v>36</v>
      </c>
      <c r="F175" t="s">
        <v>63</v>
      </c>
      <c r="G175" t="s">
        <v>112</v>
      </c>
      <c r="H175" t="s">
        <v>1</v>
      </c>
      <c r="I175" t="s">
        <v>0</v>
      </c>
      <c r="J175" s="4">
        <v>2</v>
      </c>
      <c r="K175" s="3">
        <v>547.64</v>
      </c>
      <c r="L175">
        <v>20</v>
      </c>
      <c r="M175" s="2">
        <v>876.22</v>
      </c>
      <c r="N175" s="2">
        <v>571.03</v>
      </c>
      <c r="O175" s="2">
        <v>305.19</v>
      </c>
      <c r="P175" s="1">
        <f>(Sales_Data[[#This Row],[Profit]]/Sales_Data[[#This Row],[Revenue]])</f>
        <v>0.34830293761840631</v>
      </c>
    </row>
    <row r="176" spans="1:16" x14ac:dyDescent="0.35">
      <c r="A176" t="s">
        <v>1234</v>
      </c>
      <c r="B176" s="5" t="s">
        <v>131</v>
      </c>
      <c r="C176" s="5" t="s">
        <v>125</v>
      </c>
      <c r="D176" s="5" t="str">
        <f>"Q"&amp;ROUNDUP(MONTH(B176)/3,0)</f>
        <v>Q4</v>
      </c>
      <c r="E176" t="s">
        <v>4</v>
      </c>
      <c r="F176" t="s">
        <v>11</v>
      </c>
      <c r="G176" t="s">
        <v>95</v>
      </c>
      <c r="H176" t="s">
        <v>59</v>
      </c>
      <c r="I176" t="s">
        <v>0</v>
      </c>
      <c r="J176" s="4">
        <v>3</v>
      </c>
      <c r="K176" s="3">
        <v>1537.18</v>
      </c>
      <c r="L176">
        <v>20</v>
      </c>
      <c r="M176" s="2">
        <v>3689.23</v>
      </c>
      <c r="N176" s="2">
        <v>2465.84</v>
      </c>
      <c r="O176" s="2">
        <v>1223.3900000000001</v>
      </c>
      <c r="P176" s="1">
        <f>(Sales_Data[[#This Row],[Profit]]/Sales_Data[[#This Row],[Revenue]])</f>
        <v>0.3316112034218523</v>
      </c>
    </row>
    <row r="177" spans="1:16" x14ac:dyDescent="0.35">
      <c r="A177" t="s">
        <v>1233</v>
      </c>
      <c r="B177" s="5" t="s">
        <v>789</v>
      </c>
      <c r="C177" s="5" t="s">
        <v>125</v>
      </c>
      <c r="D177" s="5" t="str">
        <f>"Q"&amp;ROUNDUP(MONTH(B177)/3,0)</f>
        <v>Q4</v>
      </c>
      <c r="E177" t="s">
        <v>4</v>
      </c>
      <c r="F177" t="s">
        <v>63</v>
      </c>
      <c r="G177" t="s">
        <v>68</v>
      </c>
      <c r="H177" t="s">
        <v>45</v>
      </c>
      <c r="I177" t="s">
        <v>8</v>
      </c>
      <c r="J177" s="4">
        <v>5</v>
      </c>
      <c r="K177" s="3">
        <v>877.65</v>
      </c>
      <c r="L177">
        <v>20</v>
      </c>
      <c r="M177" s="2">
        <v>3510.6</v>
      </c>
      <c r="N177" s="2">
        <v>2326.4299999999998</v>
      </c>
      <c r="O177" s="2">
        <v>1184.17</v>
      </c>
      <c r="P177" s="1">
        <f>(Sales_Data[[#This Row],[Profit]]/Sales_Data[[#This Row],[Revenue]])</f>
        <v>0.33731271007804936</v>
      </c>
    </row>
    <row r="178" spans="1:16" x14ac:dyDescent="0.35">
      <c r="A178" t="s">
        <v>1232</v>
      </c>
      <c r="B178" s="5" t="s">
        <v>140</v>
      </c>
      <c r="C178" s="5" t="s">
        <v>125</v>
      </c>
      <c r="D178" s="5" t="str">
        <f>"Q"&amp;ROUNDUP(MONTH(B178)/3,0)</f>
        <v>Q4</v>
      </c>
      <c r="E178" t="s">
        <v>4</v>
      </c>
      <c r="F178" t="s">
        <v>3</v>
      </c>
      <c r="G178" t="s">
        <v>369</v>
      </c>
      <c r="H178" t="s">
        <v>45</v>
      </c>
      <c r="I178" t="s">
        <v>8</v>
      </c>
      <c r="J178" s="4">
        <v>2</v>
      </c>
      <c r="K178" s="3">
        <v>878.53</v>
      </c>
      <c r="L178">
        <v>20</v>
      </c>
      <c r="M178" s="2">
        <v>1405.65</v>
      </c>
      <c r="N178" s="2">
        <v>1084.1300000000001</v>
      </c>
      <c r="O178" s="2">
        <v>321.52</v>
      </c>
      <c r="P178" s="1">
        <f>(Sales_Data[[#This Row],[Profit]]/Sales_Data[[#This Row],[Revenue]])</f>
        <v>0.22873403763383485</v>
      </c>
    </row>
    <row r="179" spans="1:16" x14ac:dyDescent="0.35">
      <c r="A179" t="s">
        <v>1231</v>
      </c>
      <c r="B179" s="5" t="s">
        <v>475</v>
      </c>
      <c r="C179" s="5" t="s">
        <v>125</v>
      </c>
      <c r="D179" s="5" t="str">
        <f>"Q"&amp;ROUNDUP(MONTH(B179)/3,0)</f>
        <v>Q4</v>
      </c>
      <c r="E179" t="s">
        <v>23</v>
      </c>
      <c r="F179" t="s">
        <v>56</v>
      </c>
      <c r="G179" t="s">
        <v>68</v>
      </c>
      <c r="H179" t="s">
        <v>9</v>
      </c>
      <c r="I179" t="s">
        <v>8</v>
      </c>
      <c r="J179" s="4">
        <v>8</v>
      </c>
      <c r="K179" s="3">
        <v>58674.79</v>
      </c>
      <c r="L179">
        <v>20</v>
      </c>
      <c r="M179" s="2">
        <v>375518.66</v>
      </c>
      <c r="N179" s="2">
        <v>251479.34</v>
      </c>
      <c r="O179" s="2">
        <v>124039.32</v>
      </c>
      <c r="P179" s="1">
        <f>(Sales_Data[[#This Row],[Profit]]/Sales_Data[[#This Row],[Revenue]])</f>
        <v>0.33031466399033277</v>
      </c>
    </row>
    <row r="180" spans="1:16" x14ac:dyDescent="0.35">
      <c r="A180" t="s">
        <v>1230</v>
      </c>
      <c r="B180" s="5" t="s">
        <v>475</v>
      </c>
      <c r="C180" s="5" t="s">
        <v>125</v>
      </c>
      <c r="D180" s="5" t="str">
        <f>"Q"&amp;ROUNDUP(MONTH(B180)/3,0)</f>
        <v>Q4</v>
      </c>
      <c r="E180" t="s">
        <v>23</v>
      </c>
      <c r="F180" t="s">
        <v>52</v>
      </c>
      <c r="G180" t="s">
        <v>142</v>
      </c>
      <c r="H180" t="s">
        <v>20</v>
      </c>
      <c r="I180" t="s">
        <v>19</v>
      </c>
      <c r="J180" s="4">
        <v>2</v>
      </c>
      <c r="K180" s="3">
        <v>28.46</v>
      </c>
      <c r="L180">
        <v>20</v>
      </c>
      <c r="M180" s="2">
        <v>45.54</v>
      </c>
      <c r="N180" s="2">
        <v>26.57</v>
      </c>
      <c r="O180" s="2">
        <v>18.97</v>
      </c>
      <c r="P180" s="1">
        <f>(Sales_Data[[#This Row],[Profit]]/Sales_Data[[#This Row],[Revenue]])</f>
        <v>0.41655687307861217</v>
      </c>
    </row>
    <row r="181" spans="1:16" x14ac:dyDescent="0.35">
      <c r="A181" t="s">
        <v>1229</v>
      </c>
      <c r="B181" s="5" t="s">
        <v>148</v>
      </c>
      <c r="C181" s="5" t="s">
        <v>125</v>
      </c>
      <c r="D181" s="5" t="str">
        <f>"Q"&amp;ROUNDUP(MONTH(B181)/3,0)</f>
        <v>Q4</v>
      </c>
      <c r="E181" t="s">
        <v>36</v>
      </c>
      <c r="F181" t="s">
        <v>56</v>
      </c>
      <c r="G181" t="s">
        <v>39</v>
      </c>
      <c r="H181" t="s">
        <v>14</v>
      </c>
      <c r="I181" t="s">
        <v>8</v>
      </c>
      <c r="J181" s="4">
        <v>5</v>
      </c>
      <c r="K181" s="3">
        <v>2351.9499999999998</v>
      </c>
      <c r="L181">
        <v>20</v>
      </c>
      <c r="M181" s="2">
        <v>9407.7999999999993</v>
      </c>
      <c r="N181" s="2">
        <v>7134.11</v>
      </c>
      <c r="O181" s="2">
        <v>2273.69</v>
      </c>
      <c r="P181" s="1">
        <f>(Sales_Data[[#This Row],[Profit]]/Sales_Data[[#This Row],[Revenue]])</f>
        <v>0.24168137077744001</v>
      </c>
    </row>
    <row r="182" spans="1:16" x14ac:dyDescent="0.35">
      <c r="A182" t="s">
        <v>1228</v>
      </c>
      <c r="B182" s="5" t="s">
        <v>135</v>
      </c>
      <c r="C182" s="5" t="s">
        <v>125</v>
      </c>
      <c r="D182" s="5" t="str">
        <f>"Q"&amp;ROUNDUP(MONTH(B182)/3,0)</f>
        <v>Q4</v>
      </c>
      <c r="E182" t="s">
        <v>16</v>
      </c>
      <c r="F182" t="s">
        <v>3</v>
      </c>
      <c r="G182" t="s">
        <v>29</v>
      </c>
      <c r="H182" t="s">
        <v>59</v>
      </c>
      <c r="I182" t="s">
        <v>0</v>
      </c>
      <c r="J182" s="4">
        <v>3</v>
      </c>
      <c r="K182" s="3">
        <v>1500.66</v>
      </c>
      <c r="L182">
        <v>20</v>
      </c>
      <c r="M182" s="2">
        <v>3601.58</v>
      </c>
      <c r="N182" s="2">
        <v>2919.15</v>
      </c>
      <c r="O182" s="2">
        <v>682.43</v>
      </c>
      <c r="P182" s="1">
        <f>(Sales_Data[[#This Row],[Profit]]/Sales_Data[[#This Row],[Revenue]])</f>
        <v>0.18948072790275378</v>
      </c>
    </row>
    <row r="183" spans="1:16" x14ac:dyDescent="0.35">
      <c r="A183" t="s">
        <v>1227</v>
      </c>
      <c r="B183" s="5" t="s">
        <v>485</v>
      </c>
      <c r="C183" s="5" t="s">
        <v>125</v>
      </c>
      <c r="D183" s="5" t="str">
        <f>"Q"&amp;ROUNDUP(MONTH(B183)/3,0)</f>
        <v>Q4</v>
      </c>
      <c r="E183" t="s">
        <v>23</v>
      </c>
      <c r="F183" t="s">
        <v>11</v>
      </c>
      <c r="G183" t="s">
        <v>264</v>
      </c>
      <c r="H183" t="s">
        <v>34</v>
      </c>
      <c r="I183" t="s">
        <v>8</v>
      </c>
      <c r="J183" s="4">
        <v>5</v>
      </c>
      <c r="K183" s="3">
        <v>27494.9</v>
      </c>
      <c r="L183">
        <v>20</v>
      </c>
      <c r="M183" s="2">
        <v>109979.6</v>
      </c>
      <c r="N183" s="2">
        <v>85637.24</v>
      </c>
      <c r="O183" s="2">
        <v>24342.36</v>
      </c>
      <c r="P183" s="1">
        <f>(Sales_Data[[#This Row],[Profit]]/Sales_Data[[#This Row],[Revenue]])</f>
        <v>0.22133522944255116</v>
      </c>
    </row>
    <row r="184" spans="1:16" x14ac:dyDescent="0.35">
      <c r="A184" t="s">
        <v>1226</v>
      </c>
      <c r="B184" s="5" t="s">
        <v>480</v>
      </c>
      <c r="C184" s="5" t="s">
        <v>125</v>
      </c>
      <c r="D184" s="5" t="str">
        <f>"Q"&amp;ROUNDUP(MONTH(B184)/3,0)</f>
        <v>Q4</v>
      </c>
      <c r="E184" t="s">
        <v>23</v>
      </c>
      <c r="F184" t="s">
        <v>22</v>
      </c>
      <c r="G184" t="s">
        <v>150</v>
      </c>
      <c r="H184" t="s">
        <v>111</v>
      </c>
      <c r="I184" t="s">
        <v>49</v>
      </c>
      <c r="J184" s="4">
        <v>5</v>
      </c>
      <c r="K184" s="3">
        <v>7446.1</v>
      </c>
      <c r="L184">
        <v>20</v>
      </c>
      <c r="M184" s="2">
        <v>29784.400000000001</v>
      </c>
      <c r="N184" s="2">
        <v>18443.28</v>
      </c>
      <c r="O184" s="2">
        <v>11341.12</v>
      </c>
      <c r="P184" s="1">
        <f>(Sales_Data[[#This Row],[Profit]]/Sales_Data[[#This Row],[Revenue]])</f>
        <v>0.3807738279099126</v>
      </c>
    </row>
    <row r="185" spans="1:16" x14ac:dyDescent="0.35">
      <c r="A185" t="s">
        <v>1225</v>
      </c>
      <c r="B185" s="5" t="s">
        <v>774</v>
      </c>
      <c r="C185" s="5" t="s">
        <v>125</v>
      </c>
      <c r="D185" s="5" t="str">
        <f>"Q"&amp;ROUNDUP(MONTH(B185)/3,0)</f>
        <v>Q4</v>
      </c>
      <c r="E185" t="s">
        <v>16</v>
      </c>
      <c r="F185" t="s">
        <v>63</v>
      </c>
      <c r="G185" t="s">
        <v>159</v>
      </c>
      <c r="H185" t="s">
        <v>78</v>
      </c>
      <c r="I185" t="s">
        <v>19</v>
      </c>
      <c r="J185" s="4">
        <v>2</v>
      </c>
      <c r="K185" s="3">
        <v>108.17</v>
      </c>
      <c r="L185">
        <v>20</v>
      </c>
      <c r="M185" s="2">
        <v>173.07</v>
      </c>
      <c r="N185" s="2">
        <v>126.31</v>
      </c>
      <c r="O185" s="2">
        <v>46.76</v>
      </c>
      <c r="P185" s="1">
        <f>(Sales_Data[[#This Row],[Profit]]/Sales_Data[[#This Row],[Revenue]])</f>
        <v>0.27017969607673198</v>
      </c>
    </row>
    <row r="186" spans="1:16" x14ac:dyDescent="0.35">
      <c r="A186" t="s">
        <v>1224</v>
      </c>
      <c r="B186" s="5" t="s">
        <v>129</v>
      </c>
      <c r="C186" s="5" t="s">
        <v>125</v>
      </c>
      <c r="D186" s="5" t="str">
        <f>"Q"&amp;ROUNDUP(MONTH(B186)/3,0)</f>
        <v>Q4</v>
      </c>
      <c r="E186" t="s">
        <v>16</v>
      </c>
      <c r="F186" t="s">
        <v>3</v>
      </c>
      <c r="G186" t="s">
        <v>51</v>
      </c>
      <c r="H186" t="s">
        <v>14</v>
      </c>
      <c r="I186" t="s">
        <v>8</v>
      </c>
      <c r="J186" s="4">
        <v>6</v>
      </c>
      <c r="K186" s="3">
        <v>2660.4</v>
      </c>
      <c r="L186">
        <v>20</v>
      </c>
      <c r="M186" s="2">
        <v>12769.92</v>
      </c>
      <c r="N186" s="2">
        <v>9843.9</v>
      </c>
      <c r="O186" s="2">
        <v>2926.02</v>
      </c>
      <c r="P186" s="1">
        <f>(Sales_Data[[#This Row],[Profit]]/Sales_Data[[#This Row],[Revenue]])</f>
        <v>0.22913377687565778</v>
      </c>
    </row>
    <row r="187" spans="1:16" x14ac:dyDescent="0.35">
      <c r="A187" t="s">
        <v>1223</v>
      </c>
      <c r="B187" s="5" t="s">
        <v>122</v>
      </c>
      <c r="C187" s="5" t="s">
        <v>72</v>
      </c>
      <c r="D187" s="5" t="str">
        <f>"Q"&amp;ROUNDUP(MONTH(B187)/3,0)</f>
        <v>Q4</v>
      </c>
      <c r="E187" t="s">
        <v>36</v>
      </c>
      <c r="F187" t="s">
        <v>3</v>
      </c>
      <c r="G187" t="s">
        <v>31</v>
      </c>
      <c r="H187" t="s">
        <v>1</v>
      </c>
      <c r="I187" t="s">
        <v>0</v>
      </c>
      <c r="J187" s="4">
        <v>7</v>
      </c>
      <c r="K187" s="3">
        <v>470.85</v>
      </c>
      <c r="L187">
        <v>20</v>
      </c>
      <c r="M187" s="2">
        <v>2636.76</v>
      </c>
      <c r="N187" s="2">
        <v>1803.84</v>
      </c>
      <c r="O187" s="2">
        <v>832.92</v>
      </c>
      <c r="P187" s="1">
        <f>(Sales_Data[[#This Row],[Profit]]/Sales_Data[[#This Row],[Revenue]])</f>
        <v>0.31588768033495651</v>
      </c>
    </row>
    <row r="188" spans="1:16" x14ac:dyDescent="0.35">
      <c r="A188" t="s">
        <v>1222</v>
      </c>
      <c r="B188" s="5" t="s">
        <v>745</v>
      </c>
      <c r="C188" s="5" t="s">
        <v>72</v>
      </c>
      <c r="D188" s="5" t="str">
        <f>"Q"&amp;ROUNDUP(MONTH(B188)/3,0)</f>
        <v>Q4</v>
      </c>
      <c r="E188" t="s">
        <v>36</v>
      </c>
      <c r="F188" t="s">
        <v>11</v>
      </c>
      <c r="G188" t="s">
        <v>255</v>
      </c>
      <c r="H188" t="s">
        <v>34</v>
      </c>
      <c r="I188" t="s">
        <v>8</v>
      </c>
      <c r="J188" s="4">
        <v>4</v>
      </c>
      <c r="K188" s="3">
        <v>24143.54</v>
      </c>
      <c r="L188">
        <v>20</v>
      </c>
      <c r="M188" s="2">
        <v>77259.33</v>
      </c>
      <c r="N188" s="2">
        <v>46636.7</v>
      </c>
      <c r="O188" s="2">
        <v>30622.63</v>
      </c>
      <c r="P188" s="1">
        <f>(Sales_Data[[#This Row],[Profit]]/Sales_Data[[#This Row],[Revenue]])</f>
        <v>0.39636157859510301</v>
      </c>
    </row>
    <row r="189" spans="1:16" x14ac:dyDescent="0.35">
      <c r="A189" t="s">
        <v>1221</v>
      </c>
      <c r="B189" s="5" t="s">
        <v>93</v>
      </c>
      <c r="C189" s="5" t="s">
        <v>72</v>
      </c>
      <c r="D189" s="5" t="str">
        <f>"Q"&amp;ROUNDUP(MONTH(B189)/3,0)</f>
        <v>Q4</v>
      </c>
      <c r="E189" t="s">
        <v>4</v>
      </c>
      <c r="F189" t="s">
        <v>3</v>
      </c>
      <c r="G189" t="s">
        <v>95</v>
      </c>
      <c r="H189" t="s">
        <v>9</v>
      </c>
      <c r="I189" t="s">
        <v>8</v>
      </c>
      <c r="J189" s="4">
        <v>7</v>
      </c>
      <c r="K189" s="3">
        <v>56792.83</v>
      </c>
      <c r="L189">
        <v>20</v>
      </c>
      <c r="M189" s="2">
        <v>318039.84999999998</v>
      </c>
      <c r="N189" s="2">
        <v>191237.56</v>
      </c>
      <c r="O189" s="2">
        <v>126802.29</v>
      </c>
      <c r="P189" s="1">
        <f>(Sales_Data[[#This Row],[Profit]]/Sales_Data[[#This Row],[Revenue]])</f>
        <v>0.39869937682337608</v>
      </c>
    </row>
    <row r="190" spans="1:16" x14ac:dyDescent="0.35">
      <c r="A190" t="s">
        <v>1220</v>
      </c>
      <c r="B190" s="5" t="s">
        <v>88</v>
      </c>
      <c r="C190" s="5" t="s">
        <v>72</v>
      </c>
      <c r="D190" s="5" t="str">
        <f>"Q"&amp;ROUNDUP(MONTH(B190)/3,0)</f>
        <v>Q4</v>
      </c>
      <c r="E190" t="s">
        <v>16</v>
      </c>
      <c r="F190" t="s">
        <v>63</v>
      </c>
      <c r="G190" t="s">
        <v>26</v>
      </c>
      <c r="H190" t="s">
        <v>59</v>
      </c>
      <c r="I190" t="s">
        <v>0</v>
      </c>
      <c r="J190" s="4">
        <v>6</v>
      </c>
      <c r="K190" s="3">
        <v>1631.17</v>
      </c>
      <c r="L190">
        <v>20</v>
      </c>
      <c r="M190" s="2">
        <v>7829.62</v>
      </c>
      <c r="N190" s="2">
        <v>6654.57</v>
      </c>
      <c r="O190" s="2">
        <v>1175.05</v>
      </c>
      <c r="P190" s="1">
        <f>(Sales_Data[[#This Row],[Profit]]/Sales_Data[[#This Row],[Revenue]])</f>
        <v>0.15007752611237837</v>
      </c>
    </row>
    <row r="191" spans="1:16" x14ac:dyDescent="0.35">
      <c r="A191" t="s">
        <v>1219</v>
      </c>
      <c r="B191" s="5" t="s">
        <v>465</v>
      </c>
      <c r="C191" s="5" t="s">
        <v>72</v>
      </c>
      <c r="D191" s="5" t="str">
        <f>"Q"&amp;ROUNDUP(MONTH(B191)/3,0)</f>
        <v>Q4</v>
      </c>
      <c r="E191" t="s">
        <v>16</v>
      </c>
      <c r="F191" t="s">
        <v>52</v>
      </c>
      <c r="G191" t="s">
        <v>255</v>
      </c>
      <c r="H191" t="s">
        <v>59</v>
      </c>
      <c r="I191" t="s">
        <v>0</v>
      </c>
      <c r="J191" s="4">
        <v>3</v>
      </c>
      <c r="K191" s="3">
        <v>1626.58</v>
      </c>
      <c r="L191">
        <v>20</v>
      </c>
      <c r="M191" s="2">
        <v>3903.79</v>
      </c>
      <c r="N191" s="2">
        <v>3044.35</v>
      </c>
      <c r="O191" s="2">
        <v>859.44</v>
      </c>
      <c r="P191" s="1">
        <f>(Sales_Data[[#This Row],[Profit]]/Sales_Data[[#This Row],[Revenue]])</f>
        <v>0.22015528499227674</v>
      </c>
    </row>
    <row r="192" spans="1:16" x14ac:dyDescent="0.35">
      <c r="A192" t="s">
        <v>1218</v>
      </c>
      <c r="B192" s="5" t="s">
        <v>465</v>
      </c>
      <c r="C192" s="5" t="s">
        <v>72</v>
      </c>
      <c r="D192" s="5" t="str">
        <f>"Q"&amp;ROUNDUP(MONTH(B192)/3,0)</f>
        <v>Q4</v>
      </c>
      <c r="E192" t="s">
        <v>36</v>
      </c>
      <c r="F192" t="s">
        <v>3</v>
      </c>
      <c r="G192" t="s">
        <v>51</v>
      </c>
      <c r="H192" t="s">
        <v>1</v>
      </c>
      <c r="I192" t="s">
        <v>0</v>
      </c>
      <c r="J192" s="4">
        <v>1</v>
      </c>
      <c r="K192" s="3">
        <v>459.5</v>
      </c>
      <c r="L192">
        <v>20</v>
      </c>
      <c r="M192" s="2">
        <v>367.6</v>
      </c>
      <c r="N192" s="2">
        <v>205.05</v>
      </c>
      <c r="O192" s="2">
        <v>162.55000000000001</v>
      </c>
      <c r="P192" s="1">
        <f>(Sales_Data[[#This Row],[Profit]]/Sales_Data[[#This Row],[Revenue]])</f>
        <v>0.44219260065288357</v>
      </c>
    </row>
    <row r="193" spans="1:16" x14ac:dyDescent="0.35">
      <c r="A193" t="s">
        <v>1217</v>
      </c>
      <c r="B193" s="5" t="s">
        <v>745</v>
      </c>
      <c r="C193" s="5" t="s">
        <v>72</v>
      </c>
      <c r="D193" s="5" t="str">
        <f>"Q"&amp;ROUNDUP(MONTH(B193)/3,0)</f>
        <v>Q4</v>
      </c>
      <c r="E193" t="s">
        <v>23</v>
      </c>
      <c r="F193" t="s">
        <v>63</v>
      </c>
      <c r="G193" t="s">
        <v>82</v>
      </c>
      <c r="H193" t="s">
        <v>14</v>
      </c>
      <c r="I193" t="s">
        <v>8</v>
      </c>
      <c r="J193" s="4">
        <v>2</v>
      </c>
      <c r="K193" s="3">
        <v>2276.48</v>
      </c>
      <c r="L193">
        <v>20</v>
      </c>
      <c r="M193" s="2">
        <v>3642.37</v>
      </c>
      <c r="N193" s="2">
        <v>2555.94</v>
      </c>
      <c r="O193" s="2">
        <v>1086.43</v>
      </c>
      <c r="P193" s="1">
        <f>(Sales_Data[[#This Row],[Profit]]/Sales_Data[[#This Row],[Revenue]])</f>
        <v>0.2982755733217658</v>
      </c>
    </row>
    <row r="194" spans="1:16" x14ac:dyDescent="0.35">
      <c r="A194" t="s">
        <v>1216</v>
      </c>
      <c r="B194" s="5" t="s">
        <v>93</v>
      </c>
      <c r="C194" s="5" t="s">
        <v>72</v>
      </c>
      <c r="D194" s="5" t="str">
        <f>"Q"&amp;ROUNDUP(MONTH(B194)/3,0)</f>
        <v>Q4</v>
      </c>
      <c r="E194" t="s">
        <v>4</v>
      </c>
      <c r="F194" t="s">
        <v>3</v>
      </c>
      <c r="G194" t="s">
        <v>104</v>
      </c>
      <c r="H194" t="s">
        <v>20</v>
      </c>
      <c r="I194" t="s">
        <v>19</v>
      </c>
      <c r="J194" s="4">
        <v>3</v>
      </c>
      <c r="K194" s="3">
        <v>32.01</v>
      </c>
      <c r="L194">
        <v>20</v>
      </c>
      <c r="M194" s="2">
        <v>76.819999999999993</v>
      </c>
      <c r="N194" s="2">
        <v>46.75</v>
      </c>
      <c r="O194" s="2">
        <v>30.07</v>
      </c>
      <c r="P194" s="1">
        <f>(Sales_Data[[#This Row],[Profit]]/Sales_Data[[#This Row],[Revenue]])</f>
        <v>0.39143452225982822</v>
      </c>
    </row>
    <row r="195" spans="1:16" x14ac:dyDescent="0.35">
      <c r="A195" t="s">
        <v>1215</v>
      </c>
      <c r="B195" s="5" t="s">
        <v>102</v>
      </c>
      <c r="C195" s="5" t="s">
        <v>72</v>
      </c>
      <c r="D195" s="5" t="str">
        <f>"Q"&amp;ROUNDUP(MONTH(B195)/3,0)</f>
        <v>Q4</v>
      </c>
      <c r="E195" t="s">
        <v>4</v>
      </c>
      <c r="F195" t="s">
        <v>22</v>
      </c>
      <c r="G195" t="s">
        <v>137</v>
      </c>
      <c r="H195" t="s">
        <v>50</v>
      </c>
      <c r="I195" t="s">
        <v>49</v>
      </c>
      <c r="J195" s="4">
        <v>4</v>
      </c>
      <c r="K195" s="3">
        <v>4663.0600000000004</v>
      </c>
      <c r="L195">
        <v>20</v>
      </c>
      <c r="M195" s="2">
        <v>14921.79</v>
      </c>
      <c r="N195" s="2">
        <v>9015.94</v>
      </c>
      <c r="O195" s="2">
        <v>5905.85</v>
      </c>
      <c r="P195" s="1">
        <f>(Sales_Data[[#This Row],[Profit]]/Sales_Data[[#This Row],[Revenue]])</f>
        <v>0.39578696657706613</v>
      </c>
    </row>
    <row r="196" spans="1:16" x14ac:dyDescent="0.35">
      <c r="A196" t="s">
        <v>1214</v>
      </c>
      <c r="B196" s="5" t="s">
        <v>106</v>
      </c>
      <c r="C196" s="5" t="s">
        <v>72</v>
      </c>
      <c r="D196" s="5" t="str">
        <f>"Q"&amp;ROUNDUP(MONTH(B196)/3,0)</f>
        <v>Q4</v>
      </c>
      <c r="E196" t="s">
        <v>36</v>
      </c>
      <c r="F196" t="s">
        <v>3</v>
      </c>
      <c r="G196" t="s">
        <v>92</v>
      </c>
      <c r="H196" t="s">
        <v>78</v>
      </c>
      <c r="I196" t="s">
        <v>19</v>
      </c>
      <c r="J196" s="4">
        <v>7</v>
      </c>
      <c r="K196" s="3">
        <v>121.03</v>
      </c>
      <c r="L196">
        <v>20</v>
      </c>
      <c r="M196" s="2">
        <v>677.77</v>
      </c>
      <c r="N196" s="2">
        <v>444.28</v>
      </c>
      <c r="O196" s="2">
        <v>233.49</v>
      </c>
      <c r="P196" s="1">
        <f>(Sales_Data[[#This Row],[Profit]]/Sales_Data[[#This Row],[Revenue]])</f>
        <v>0.34449739587175593</v>
      </c>
    </row>
    <row r="197" spans="1:16" x14ac:dyDescent="0.35">
      <c r="A197" t="s">
        <v>1213</v>
      </c>
      <c r="B197" s="5" t="s">
        <v>32</v>
      </c>
      <c r="C197" s="5" t="s">
        <v>5</v>
      </c>
      <c r="D197" s="5" t="str">
        <f>"Q"&amp;ROUNDUP(MONTH(B197)/3,0)</f>
        <v>Q3</v>
      </c>
      <c r="E197" t="s">
        <v>4</v>
      </c>
      <c r="F197" t="s">
        <v>63</v>
      </c>
      <c r="G197" t="s">
        <v>166</v>
      </c>
      <c r="H197" t="s">
        <v>1</v>
      </c>
      <c r="I197" t="s">
        <v>0</v>
      </c>
      <c r="J197" s="4">
        <v>3</v>
      </c>
      <c r="K197" s="3">
        <v>492.59</v>
      </c>
      <c r="L197">
        <v>20</v>
      </c>
      <c r="M197" s="2">
        <v>1182.22</v>
      </c>
      <c r="N197" s="2">
        <v>786.62</v>
      </c>
      <c r="O197" s="2">
        <v>395.6</v>
      </c>
      <c r="P197" s="1">
        <f>(Sales_Data[[#This Row],[Profit]]/Sales_Data[[#This Row],[Revenue]])</f>
        <v>0.33462468914415255</v>
      </c>
    </row>
    <row r="198" spans="1:16" x14ac:dyDescent="0.35">
      <c r="A198" t="s">
        <v>1212</v>
      </c>
      <c r="B198" s="5" t="s">
        <v>1211</v>
      </c>
      <c r="C198" s="5" t="s">
        <v>5</v>
      </c>
      <c r="D198" s="5" t="str">
        <f>"Q"&amp;ROUNDUP(MONTH(B198)/3,0)</f>
        <v>Q3</v>
      </c>
      <c r="E198" t="s">
        <v>36</v>
      </c>
      <c r="F198" t="s">
        <v>11</v>
      </c>
      <c r="G198" t="s">
        <v>60</v>
      </c>
      <c r="H198" t="s">
        <v>45</v>
      </c>
      <c r="I198" t="s">
        <v>8</v>
      </c>
      <c r="J198" s="4">
        <v>7</v>
      </c>
      <c r="K198" s="3">
        <v>825.57</v>
      </c>
      <c r="L198">
        <v>20</v>
      </c>
      <c r="M198" s="2">
        <v>4623.1899999999996</v>
      </c>
      <c r="N198" s="2">
        <v>2552.92</v>
      </c>
      <c r="O198" s="2">
        <v>2070.27</v>
      </c>
      <c r="P198" s="1">
        <f>(Sales_Data[[#This Row],[Profit]]/Sales_Data[[#This Row],[Revenue]])</f>
        <v>0.44780119354817782</v>
      </c>
    </row>
    <row r="199" spans="1:16" x14ac:dyDescent="0.35">
      <c r="A199" t="s">
        <v>1210</v>
      </c>
      <c r="B199" s="5" t="s">
        <v>972</v>
      </c>
      <c r="C199" s="5" t="s">
        <v>5</v>
      </c>
      <c r="D199" s="5" t="str">
        <f>"Q"&amp;ROUNDUP(MONTH(B199)/3,0)</f>
        <v>Q3</v>
      </c>
      <c r="E199" t="s">
        <v>4</v>
      </c>
      <c r="F199" t="s">
        <v>3</v>
      </c>
      <c r="G199" t="s">
        <v>51</v>
      </c>
      <c r="H199" t="s">
        <v>50</v>
      </c>
      <c r="I199" t="s">
        <v>49</v>
      </c>
      <c r="J199" s="4">
        <v>1</v>
      </c>
      <c r="K199" s="3">
        <v>4096.2299999999996</v>
      </c>
      <c r="L199">
        <v>20</v>
      </c>
      <c r="M199" s="2">
        <v>3276.98</v>
      </c>
      <c r="N199" s="2">
        <v>2535.56</v>
      </c>
      <c r="O199" s="2">
        <v>741.42</v>
      </c>
      <c r="P199" s="1">
        <f>(Sales_Data[[#This Row],[Profit]]/Sales_Data[[#This Row],[Revenue]])</f>
        <v>0.22625099939578514</v>
      </c>
    </row>
    <row r="200" spans="1:16" x14ac:dyDescent="0.35">
      <c r="A200" t="s">
        <v>1209</v>
      </c>
      <c r="B200" s="5" t="s">
        <v>61</v>
      </c>
      <c r="C200" s="5" t="s">
        <v>5</v>
      </c>
      <c r="D200" s="5" t="str">
        <f>"Q"&amp;ROUNDUP(MONTH(B200)/3,0)</f>
        <v>Q3</v>
      </c>
      <c r="E200" t="s">
        <v>16</v>
      </c>
      <c r="F200" t="s">
        <v>63</v>
      </c>
      <c r="G200" t="s">
        <v>108</v>
      </c>
      <c r="H200" t="s">
        <v>34</v>
      </c>
      <c r="I200" t="s">
        <v>8</v>
      </c>
      <c r="J200" s="4">
        <v>6</v>
      </c>
      <c r="K200" s="3">
        <v>22676.5</v>
      </c>
      <c r="L200">
        <v>20</v>
      </c>
      <c r="M200" s="2">
        <v>108847.2</v>
      </c>
      <c r="N200" s="2">
        <v>71574.649999999994</v>
      </c>
      <c r="O200" s="2">
        <v>37272.550000000003</v>
      </c>
      <c r="P200" s="1">
        <f>(Sales_Data[[#This Row],[Profit]]/Sales_Data[[#This Row],[Revenue]])</f>
        <v>0.34243003035447861</v>
      </c>
    </row>
    <row r="201" spans="1:16" x14ac:dyDescent="0.35">
      <c r="A201" t="s">
        <v>1208</v>
      </c>
      <c r="B201" s="5" t="s">
        <v>61</v>
      </c>
      <c r="C201" s="5" t="s">
        <v>5</v>
      </c>
      <c r="D201" s="5" t="str">
        <f>"Q"&amp;ROUNDUP(MONTH(B201)/3,0)</f>
        <v>Q3</v>
      </c>
      <c r="E201" t="s">
        <v>16</v>
      </c>
      <c r="F201" t="s">
        <v>56</v>
      </c>
      <c r="G201" t="s">
        <v>85</v>
      </c>
      <c r="H201" t="s">
        <v>59</v>
      </c>
      <c r="I201" t="s">
        <v>0</v>
      </c>
      <c r="J201" s="4">
        <v>2</v>
      </c>
      <c r="K201" s="3">
        <v>1543.83</v>
      </c>
      <c r="L201">
        <v>20</v>
      </c>
      <c r="M201" s="2">
        <v>2470.13</v>
      </c>
      <c r="N201" s="2">
        <v>1872.53</v>
      </c>
      <c r="O201" s="2">
        <v>597.6</v>
      </c>
      <c r="P201" s="1">
        <f>(Sales_Data[[#This Row],[Profit]]/Sales_Data[[#This Row],[Revenue]])</f>
        <v>0.24193058664928566</v>
      </c>
    </row>
    <row r="202" spans="1:16" x14ac:dyDescent="0.35">
      <c r="A202" t="s">
        <v>1207</v>
      </c>
      <c r="B202" s="5" t="s">
        <v>24</v>
      </c>
      <c r="C202" s="5" t="s">
        <v>5</v>
      </c>
      <c r="D202" s="5" t="str">
        <f>"Q"&amp;ROUNDUP(MONTH(B202)/3,0)</f>
        <v>Q3</v>
      </c>
      <c r="E202" t="s">
        <v>4</v>
      </c>
      <c r="F202" t="s">
        <v>22</v>
      </c>
      <c r="G202" t="s">
        <v>191</v>
      </c>
      <c r="H202" t="s">
        <v>34</v>
      </c>
      <c r="I202" t="s">
        <v>8</v>
      </c>
      <c r="J202" s="4">
        <v>4</v>
      </c>
      <c r="K202" s="3">
        <v>27013.89</v>
      </c>
      <c r="L202">
        <v>20</v>
      </c>
      <c r="M202" s="2">
        <v>86444.45</v>
      </c>
      <c r="N202" s="2">
        <v>57300.73</v>
      </c>
      <c r="O202" s="2">
        <v>29143.72</v>
      </c>
      <c r="P202" s="1">
        <f>(Sales_Data[[#This Row],[Profit]]/Sales_Data[[#This Row],[Revenue]])</f>
        <v>0.33713812743328231</v>
      </c>
    </row>
    <row r="203" spans="1:16" x14ac:dyDescent="0.35">
      <c r="A203" t="s">
        <v>1206</v>
      </c>
      <c r="B203" s="5" t="s">
        <v>57</v>
      </c>
      <c r="C203" s="5" t="s">
        <v>5</v>
      </c>
      <c r="D203" s="5" t="str">
        <f>"Q"&amp;ROUNDUP(MONTH(B203)/3,0)</f>
        <v>Q3</v>
      </c>
      <c r="E203" t="s">
        <v>36</v>
      </c>
      <c r="F203" t="s">
        <v>22</v>
      </c>
      <c r="G203" t="s">
        <v>10</v>
      </c>
      <c r="H203" t="s">
        <v>111</v>
      </c>
      <c r="I203" t="s">
        <v>49</v>
      </c>
      <c r="J203" s="4">
        <v>4</v>
      </c>
      <c r="K203" s="3">
        <v>7519.72</v>
      </c>
      <c r="L203">
        <v>20</v>
      </c>
      <c r="M203" s="2">
        <v>24063.1</v>
      </c>
      <c r="N203" s="2">
        <v>20192.71</v>
      </c>
      <c r="O203" s="2">
        <v>3870.39</v>
      </c>
      <c r="P203" s="1">
        <f>(Sales_Data[[#This Row],[Profit]]/Sales_Data[[#This Row],[Revenue]])</f>
        <v>0.16084336598360144</v>
      </c>
    </row>
    <row r="204" spans="1:16" x14ac:dyDescent="0.35">
      <c r="A204" t="s">
        <v>1205</v>
      </c>
      <c r="B204" s="5" t="s">
        <v>53</v>
      </c>
      <c r="C204" s="5" t="s">
        <v>5</v>
      </c>
      <c r="D204" s="5" t="str">
        <f>"Q"&amp;ROUNDUP(MONTH(B204)/3,0)</f>
        <v>Q3</v>
      </c>
      <c r="E204" t="s">
        <v>16</v>
      </c>
      <c r="F204" t="s">
        <v>52</v>
      </c>
      <c r="G204" t="s">
        <v>35</v>
      </c>
      <c r="H204" t="s">
        <v>111</v>
      </c>
      <c r="I204" t="s">
        <v>49</v>
      </c>
      <c r="J204" s="4">
        <v>6</v>
      </c>
      <c r="K204" s="3">
        <v>8777.2099999999991</v>
      </c>
      <c r="L204">
        <v>20</v>
      </c>
      <c r="M204" s="2">
        <v>42130.61</v>
      </c>
      <c r="N204" s="2">
        <v>28913.25</v>
      </c>
      <c r="O204" s="2">
        <v>13217.36</v>
      </c>
      <c r="P204" s="1">
        <f>(Sales_Data[[#This Row],[Profit]]/Sales_Data[[#This Row],[Revenue]])</f>
        <v>0.31372344240921268</v>
      </c>
    </row>
    <row r="205" spans="1:16" x14ac:dyDescent="0.35">
      <c r="A205" t="s">
        <v>1204</v>
      </c>
      <c r="B205" s="5" t="s">
        <v>439</v>
      </c>
      <c r="C205" s="5" t="s">
        <v>5</v>
      </c>
      <c r="D205" s="5" t="str">
        <f>"Q"&amp;ROUNDUP(MONTH(B205)/3,0)</f>
        <v>Q3</v>
      </c>
      <c r="E205" t="s">
        <v>36</v>
      </c>
      <c r="F205" t="s">
        <v>63</v>
      </c>
      <c r="G205" t="s">
        <v>10</v>
      </c>
      <c r="H205" t="s">
        <v>20</v>
      </c>
      <c r="I205" t="s">
        <v>19</v>
      </c>
      <c r="J205" s="4">
        <v>6</v>
      </c>
      <c r="K205" s="3">
        <v>28.91</v>
      </c>
      <c r="L205">
        <v>20</v>
      </c>
      <c r="M205" s="2">
        <v>138.77000000000001</v>
      </c>
      <c r="N205" s="2">
        <v>104.01</v>
      </c>
      <c r="O205" s="2">
        <v>34.76</v>
      </c>
      <c r="P205" s="1">
        <f>(Sales_Data[[#This Row],[Profit]]/Sales_Data[[#This Row],[Revenue]])</f>
        <v>0.25048641637241476</v>
      </c>
    </row>
    <row r="206" spans="1:16" x14ac:dyDescent="0.35">
      <c r="A206" t="s">
        <v>1203</v>
      </c>
      <c r="B206" s="5" t="s">
        <v>1202</v>
      </c>
      <c r="C206" s="5" t="s">
        <v>5</v>
      </c>
      <c r="D206" s="5" t="str">
        <f>"Q"&amp;ROUNDUP(MONTH(B206)/3,0)</f>
        <v>Q3</v>
      </c>
      <c r="E206" t="s">
        <v>23</v>
      </c>
      <c r="F206" t="s">
        <v>11</v>
      </c>
      <c r="G206" t="s">
        <v>101</v>
      </c>
      <c r="H206" t="s">
        <v>50</v>
      </c>
      <c r="I206" t="s">
        <v>49</v>
      </c>
      <c r="J206" s="4">
        <v>2</v>
      </c>
      <c r="K206" s="3">
        <v>4841.13</v>
      </c>
      <c r="L206">
        <v>20</v>
      </c>
      <c r="M206" s="2">
        <v>7745.81</v>
      </c>
      <c r="N206" s="2">
        <v>4480.88</v>
      </c>
      <c r="O206" s="2">
        <v>3264.93</v>
      </c>
      <c r="P206" s="1">
        <f>(Sales_Data[[#This Row],[Profit]]/Sales_Data[[#This Row],[Revenue]])</f>
        <v>0.42150917721968389</v>
      </c>
    </row>
    <row r="207" spans="1:16" x14ac:dyDescent="0.35">
      <c r="A207" t="s">
        <v>1201</v>
      </c>
      <c r="B207" s="5" t="s">
        <v>43</v>
      </c>
      <c r="C207" s="5" t="s">
        <v>5</v>
      </c>
      <c r="D207" s="5" t="str">
        <f>"Q"&amp;ROUNDUP(MONTH(B207)/3,0)</f>
        <v>Q3</v>
      </c>
      <c r="E207" t="s">
        <v>36</v>
      </c>
      <c r="F207" t="s">
        <v>3</v>
      </c>
      <c r="G207" t="s">
        <v>39</v>
      </c>
      <c r="H207" t="s">
        <v>9</v>
      </c>
      <c r="I207" t="s">
        <v>8</v>
      </c>
      <c r="J207" s="4">
        <v>4</v>
      </c>
      <c r="K207" s="3">
        <v>55244.84</v>
      </c>
      <c r="L207">
        <v>20</v>
      </c>
      <c r="M207" s="2">
        <v>176783.49</v>
      </c>
      <c r="N207" s="2">
        <v>132587.76999999999</v>
      </c>
      <c r="O207" s="2">
        <v>44195.72</v>
      </c>
      <c r="P207" s="1">
        <f>(Sales_Data[[#This Row],[Profit]]/Sales_Data[[#This Row],[Revenue]])</f>
        <v>0.24999913736288384</v>
      </c>
    </row>
    <row r="208" spans="1:16" x14ac:dyDescent="0.35">
      <c r="A208" t="s">
        <v>1200</v>
      </c>
      <c r="B208" s="5" t="s">
        <v>57</v>
      </c>
      <c r="C208" s="5" t="s">
        <v>5</v>
      </c>
      <c r="D208" s="5" t="str">
        <f>"Q"&amp;ROUNDUP(MONTH(B208)/3,0)</f>
        <v>Q3</v>
      </c>
      <c r="E208" t="s">
        <v>23</v>
      </c>
      <c r="F208" t="s">
        <v>22</v>
      </c>
      <c r="G208" t="s">
        <v>108</v>
      </c>
      <c r="H208" t="s">
        <v>78</v>
      </c>
      <c r="I208" t="s">
        <v>19</v>
      </c>
      <c r="J208" s="4">
        <v>1</v>
      </c>
      <c r="K208" s="3">
        <v>113.59</v>
      </c>
      <c r="L208">
        <v>20</v>
      </c>
      <c r="M208" s="2">
        <v>90.87</v>
      </c>
      <c r="N208" s="2">
        <v>61.61</v>
      </c>
      <c r="O208" s="2">
        <v>29.26</v>
      </c>
      <c r="P208" s="1">
        <f>(Sales_Data[[#This Row],[Profit]]/Sales_Data[[#This Row],[Revenue]])</f>
        <v>0.32199845933751514</v>
      </c>
    </row>
    <row r="209" spans="1:16" x14ac:dyDescent="0.35">
      <c r="A209" t="s">
        <v>1199</v>
      </c>
      <c r="B209" s="5" t="s">
        <v>12</v>
      </c>
      <c r="C209" s="5" t="s">
        <v>5</v>
      </c>
      <c r="D209" s="5" t="str">
        <f>"Q"&amp;ROUNDUP(MONTH(B209)/3,0)</f>
        <v>Q3</v>
      </c>
      <c r="E209" t="s">
        <v>36</v>
      </c>
      <c r="F209" t="s">
        <v>11</v>
      </c>
      <c r="G209" t="s">
        <v>294</v>
      </c>
      <c r="H209" t="s">
        <v>45</v>
      </c>
      <c r="I209" t="s">
        <v>8</v>
      </c>
      <c r="J209" s="4">
        <v>6</v>
      </c>
      <c r="K209" s="3">
        <v>881.64</v>
      </c>
      <c r="L209">
        <v>20</v>
      </c>
      <c r="M209" s="2">
        <v>4231.87</v>
      </c>
      <c r="N209" s="2">
        <v>2615.79</v>
      </c>
      <c r="O209" s="2">
        <v>1616.08</v>
      </c>
      <c r="P209" s="1">
        <f>(Sales_Data[[#This Row],[Profit]]/Sales_Data[[#This Row],[Revenue]])</f>
        <v>0.38188318639277669</v>
      </c>
    </row>
    <row r="210" spans="1:16" x14ac:dyDescent="0.35">
      <c r="A210" t="s">
        <v>1198</v>
      </c>
      <c r="B210" s="5" t="s">
        <v>441</v>
      </c>
      <c r="C210" s="5" t="s">
        <v>5</v>
      </c>
      <c r="D210" s="5" t="str">
        <f>"Q"&amp;ROUNDUP(MONTH(B210)/3,0)</f>
        <v>Q3</v>
      </c>
      <c r="E210" t="s">
        <v>36</v>
      </c>
      <c r="F210" t="s">
        <v>3</v>
      </c>
      <c r="G210" t="s">
        <v>71</v>
      </c>
      <c r="H210" t="s">
        <v>78</v>
      </c>
      <c r="I210" t="s">
        <v>19</v>
      </c>
      <c r="J210" s="4">
        <v>5</v>
      </c>
      <c r="K210" s="3">
        <v>112.53</v>
      </c>
      <c r="L210">
        <v>20</v>
      </c>
      <c r="M210" s="2">
        <v>450.12</v>
      </c>
      <c r="N210" s="2">
        <v>301.02</v>
      </c>
      <c r="O210" s="2">
        <v>149.1</v>
      </c>
      <c r="P210" s="1">
        <f>(Sales_Data[[#This Row],[Profit]]/Sales_Data[[#This Row],[Revenue]])</f>
        <v>0.33124500133297785</v>
      </c>
    </row>
    <row r="211" spans="1:16" x14ac:dyDescent="0.35">
      <c r="A211" t="s">
        <v>1197</v>
      </c>
      <c r="B211" s="5" t="s">
        <v>57</v>
      </c>
      <c r="C211" s="5" t="s">
        <v>5</v>
      </c>
      <c r="D211" s="5" t="str">
        <f>"Q"&amp;ROUNDUP(MONTH(B211)/3,0)</f>
        <v>Q3</v>
      </c>
      <c r="E211" t="s">
        <v>23</v>
      </c>
      <c r="F211" t="s">
        <v>52</v>
      </c>
      <c r="G211" t="s">
        <v>309</v>
      </c>
      <c r="H211" t="s">
        <v>14</v>
      </c>
      <c r="I211" t="s">
        <v>8</v>
      </c>
      <c r="J211" s="4">
        <v>5</v>
      </c>
      <c r="K211" s="3">
        <v>2685.43</v>
      </c>
      <c r="L211">
        <v>20</v>
      </c>
      <c r="M211" s="2">
        <v>10741.72</v>
      </c>
      <c r="N211" s="2">
        <v>7371.63</v>
      </c>
      <c r="O211" s="2">
        <v>3370.09</v>
      </c>
      <c r="P211" s="1">
        <f>(Sales_Data[[#This Row],[Profit]]/Sales_Data[[#This Row],[Revenue]])</f>
        <v>0.31373839571316331</v>
      </c>
    </row>
    <row r="212" spans="1:16" x14ac:dyDescent="0.35">
      <c r="A212" t="s">
        <v>1196</v>
      </c>
      <c r="B212" s="5" t="s">
        <v>6</v>
      </c>
      <c r="C212" s="5" t="s">
        <v>5</v>
      </c>
      <c r="D212" s="5" t="str">
        <f>"Q"&amp;ROUNDUP(MONTH(B212)/3,0)</f>
        <v>Q3</v>
      </c>
      <c r="E212" t="s">
        <v>16</v>
      </c>
      <c r="F212" t="s">
        <v>22</v>
      </c>
      <c r="G212" t="s">
        <v>112</v>
      </c>
      <c r="H212" t="s">
        <v>59</v>
      </c>
      <c r="I212" t="s">
        <v>0</v>
      </c>
      <c r="J212" s="4">
        <v>3</v>
      </c>
      <c r="K212" s="3">
        <v>1591.16</v>
      </c>
      <c r="L212">
        <v>20</v>
      </c>
      <c r="M212" s="2">
        <v>3818.78</v>
      </c>
      <c r="N212" s="2">
        <v>3069.49</v>
      </c>
      <c r="O212" s="2">
        <v>749.29</v>
      </c>
      <c r="P212" s="1">
        <f>(Sales_Data[[#This Row],[Profit]]/Sales_Data[[#This Row],[Revenue]])</f>
        <v>0.19621187918654648</v>
      </c>
    </row>
    <row r="213" spans="1:16" x14ac:dyDescent="0.35">
      <c r="A213" t="s">
        <v>1195</v>
      </c>
      <c r="B213" s="5" t="s">
        <v>969</v>
      </c>
      <c r="C213" s="5" t="s">
        <v>5</v>
      </c>
      <c r="D213" s="5" t="str">
        <f>"Q"&amp;ROUNDUP(MONTH(B213)/3,0)</f>
        <v>Q3</v>
      </c>
      <c r="E213" t="s">
        <v>23</v>
      </c>
      <c r="F213" t="s">
        <v>22</v>
      </c>
      <c r="G213" t="s">
        <v>191</v>
      </c>
      <c r="H213" t="s">
        <v>45</v>
      </c>
      <c r="I213" t="s">
        <v>8</v>
      </c>
      <c r="J213" s="4">
        <v>2</v>
      </c>
      <c r="K213" s="3">
        <v>859.47</v>
      </c>
      <c r="L213">
        <v>20</v>
      </c>
      <c r="M213" s="2">
        <v>1375.15</v>
      </c>
      <c r="N213" s="2">
        <v>985.13</v>
      </c>
      <c r="O213" s="2">
        <v>390.02</v>
      </c>
      <c r="P213" s="1">
        <f>(Sales_Data[[#This Row],[Profit]]/Sales_Data[[#This Row],[Revenue]])</f>
        <v>0.2836199687306839</v>
      </c>
    </row>
    <row r="214" spans="1:16" x14ac:dyDescent="0.35">
      <c r="A214" t="s">
        <v>1194</v>
      </c>
      <c r="B214" s="5" t="s">
        <v>57</v>
      </c>
      <c r="C214" s="5" t="s">
        <v>5</v>
      </c>
      <c r="D214" s="5" t="str">
        <f>"Q"&amp;ROUNDUP(MONTH(B214)/3,0)</f>
        <v>Q3</v>
      </c>
      <c r="E214" t="s">
        <v>4</v>
      </c>
      <c r="F214" t="s">
        <v>22</v>
      </c>
      <c r="G214" t="s">
        <v>166</v>
      </c>
      <c r="H214" t="s">
        <v>111</v>
      </c>
      <c r="I214" t="s">
        <v>49</v>
      </c>
      <c r="J214" s="4">
        <v>5</v>
      </c>
      <c r="K214" s="3">
        <v>8117.84</v>
      </c>
      <c r="L214">
        <v>20</v>
      </c>
      <c r="M214" s="2">
        <v>32471.360000000001</v>
      </c>
      <c r="N214" s="2">
        <v>23110.720000000001</v>
      </c>
      <c r="O214" s="2">
        <v>9360.64</v>
      </c>
      <c r="P214" s="1">
        <f>(Sales_Data[[#This Row],[Profit]]/Sales_Data[[#This Row],[Revenue]])</f>
        <v>0.2882737279867551</v>
      </c>
    </row>
    <row r="215" spans="1:16" x14ac:dyDescent="0.35">
      <c r="A215" t="s">
        <v>1193</v>
      </c>
      <c r="B215" s="5" t="s">
        <v>701</v>
      </c>
      <c r="C215" s="5" t="s">
        <v>408</v>
      </c>
      <c r="D215" s="5" t="str">
        <f>"Q"&amp;ROUNDUP(MONTH(B215)/3,0)</f>
        <v>Q2</v>
      </c>
      <c r="E215" t="s">
        <v>4</v>
      </c>
      <c r="F215" t="s">
        <v>3</v>
      </c>
      <c r="G215" t="s">
        <v>137</v>
      </c>
      <c r="H215" t="s">
        <v>45</v>
      </c>
      <c r="I215" t="s">
        <v>8</v>
      </c>
      <c r="J215" s="4">
        <v>4</v>
      </c>
      <c r="K215" s="3">
        <v>823.85</v>
      </c>
      <c r="L215">
        <v>15</v>
      </c>
      <c r="M215" s="2">
        <v>2801.09</v>
      </c>
      <c r="N215" s="2">
        <v>1957.98</v>
      </c>
      <c r="O215" s="2">
        <v>843.11</v>
      </c>
      <c r="P215" s="1">
        <f>(Sales_Data[[#This Row],[Profit]]/Sales_Data[[#This Row],[Revenue]])</f>
        <v>0.30099354179979937</v>
      </c>
    </row>
    <row r="216" spans="1:16" x14ac:dyDescent="0.35">
      <c r="A216" t="s">
        <v>1192</v>
      </c>
      <c r="B216" s="5" t="s">
        <v>1191</v>
      </c>
      <c r="C216" s="5" t="s">
        <v>408</v>
      </c>
      <c r="D216" s="5" t="str">
        <f>"Q"&amp;ROUNDUP(MONTH(B216)/3,0)</f>
        <v>Q2</v>
      </c>
      <c r="E216" t="s">
        <v>36</v>
      </c>
      <c r="F216" t="s">
        <v>52</v>
      </c>
      <c r="G216" t="s">
        <v>231</v>
      </c>
      <c r="H216" t="s">
        <v>14</v>
      </c>
      <c r="I216" t="s">
        <v>8</v>
      </c>
      <c r="J216" s="4">
        <v>4</v>
      </c>
      <c r="K216" s="3">
        <v>2692.08</v>
      </c>
      <c r="L216">
        <v>15</v>
      </c>
      <c r="M216" s="2">
        <v>9153.07</v>
      </c>
      <c r="N216" s="2">
        <v>7148.87</v>
      </c>
      <c r="O216" s="2">
        <v>2004.2</v>
      </c>
      <c r="P216" s="1">
        <f>(Sales_Data[[#This Row],[Profit]]/Sales_Data[[#This Row],[Revenue]])</f>
        <v>0.21896478449307175</v>
      </c>
    </row>
    <row r="217" spans="1:16" x14ac:dyDescent="0.35">
      <c r="A217" t="s">
        <v>1190</v>
      </c>
      <c r="B217" s="5" t="s">
        <v>718</v>
      </c>
      <c r="C217" s="5" t="s">
        <v>408</v>
      </c>
      <c r="D217" s="5" t="str">
        <f>"Q"&amp;ROUNDUP(MONTH(B217)/3,0)</f>
        <v>Q2</v>
      </c>
      <c r="E217" t="s">
        <v>16</v>
      </c>
      <c r="F217" t="s">
        <v>52</v>
      </c>
      <c r="G217" t="s">
        <v>95</v>
      </c>
      <c r="H217" t="s">
        <v>9</v>
      </c>
      <c r="I217" t="s">
        <v>8</v>
      </c>
      <c r="J217" s="4">
        <v>3</v>
      </c>
      <c r="K217" s="3">
        <v>64184.56</v>
      </c>
      <c r="L217">
        <v>15</v>
      </c>
      <c r="M217" s="2">
        <v>163670.63</v>
      </c>
      <c r="N217" s="2">
        <v>127375.14</v>
      </c>
      <c r="O217" s="2">
        <v>36295.49</v>
      </c>
      <c r="P217" s="1">
        <f>(Sales_Data[[#This Row],[Profit]]/Sales_Data[[#This Row],[Revenue]])</f>
        <v>0.22175933458556368</v>
      </c>
    </row>
    <row r="218" spans="1:16" x14ac:dyDescent="0.35">
      <c r="A218" t="s">
        <v>1189</v>
      </c>
      <c r="B218" s="5" t="s">
        <v>949</v>
      </c>
      <c r="C218" s="5" t="s">
        <v>408</v>
      </c>
      <c r="D218" s="5" t="str">
        <f>"Q"&amp;ROUNDUP(MONTH(B218)/3,0)</f>
        <v>Q2</v>
      </c>
      <c r="E218" t="s">
        <v>16</v>
      </c>
      <c r="F218" t="s">
        <v>56</v>
      </c>
      <c r="G218" t="s">
        <v>85</v>
      </c>
      <c r="H218" t="s">
        <v>20</v>
      </c>
      <c r="I218" t="s">
        <v>19</v>
      </c>
      <c r="J218" s="4">
        <v>1</v>
      </c>
      <c r="K218" s="3">
        <v>29.86</v>
      </c>
      <c r="L218">
        <v>15</v>
      </c>
      <c r="M218" s="2">
        <v>25.38</v>
      </c>
      <c r="N218" s="2">
        <v>20.83</v>
      </c>
      <c r="O218" s="2">
        <v>4.55</v>
      </c>
      <c r="P218" s="1">
        <f>(Sales_Data[[#This Row],[Profit]]/Sales_Data[[#This Row],[Revenue]])</f>
        <v>0.17927501970055162</v>
      </c>
    </row>
    <row r="219" spans="1:16" x14ac:dyDescent="0.35">
      <c r="A219" t="s">
        <v>1188</v>
      </c>
      <c r="B219" s="5" t="s">
        <v>426</v>
      </c>
      <c r="C219" s="5" t="s">
        <v>408</v>
      </c>
      <c r="D219" s="5" t="str">
        <f>"Q"&amp;ROUNDUP(MONTH(B219)/3,0)</f>
        <v>Q2</v>
      </c>
      <c r="E219" t="s">
        <v>4</v>
      </c>
      <c r="F219" t="s">
        <v>63</v>
      </c>
      <c r="G219" t="s">
        <v>75</v>
      </c>
      <c r="H219" t="s">
        <v>50</v>
      </c>
      <c r="I219" t="s">
        <v>49</v>
      </c>
      <c r="J219" s="4">
        <v>1</v>
      </c>
      <c r="K219" s="3">
        <v>4278.91</v>
      </c>
      <c r="L219">
        <v>15</v>
      </c>
      <c r="M219" s="2">
        <v>3637.07</v>
      </c>
      <c r="N219" s="2">
        <v>2605.94</v>
      </c>
      <c r="O219" s="2">
        <v>1031.1300000000001</v>
      </c>
      <c r="P219" s="1">
        <f>(Sales_Data[[#This Row],[Profit]]/Sales_Data[[#This Row],[Revenue]])</f>
        <v>0.28350567902185003</v>
      </c>
    </row>
    <row r="220" spans="1:16" x14ac:dyDescent="0.35">
      <c r="A220" t="s">
        <v>1187</v>
      </c>
      <c r="B220" s="5" t="s">
        <v>424</v>
      </c>
      <c r="C220" s="5" t="s">
        <v>408</v>
      </c>
      <c r="D220" s="5" t="str">
        <f>"Q"&amp;ROUNDUP(MONTH(B220)/3,0)</f>
        <v>Q2</v>
      </c>
      <c r="E220" t="s">
        <v>36</v>
      </c>
      <c r="F220" t="s">
        <v>52</v>
      </c>
      <c r="G220" t="s">
        <v>255</v>
      </c>
      <c r="H220" t="s">
        <v>78</v>
      </c>
      <c r="I220" t="s">
        <v>19</v>
      </c>
      <c r="J220" s="4">
        <v>3</v>
      </c>
      <c r="K220" s="3">
        <v>114.83</v>
      </c>
      <c r="L220">
        <v>15</v>
      </c>
      <c r="M220" s="2">
        <v>292.82</v>
      </c>
      <c r="N220" s="2">
        <v>247.13</v>
      </c>
      <c r="O220" s="2">
        <v>45.69</v>
      </c>
      <c r="P220" s="1">
        <f>(Sales_Data[[#This Row],[Profit]]/Sales_Data[[#This Row],[Revenue]])</f>
        <v>0.15603442387815039</v>
      </c>
    </row>
    <row r="221" spans="1:16" x14ac:dyDescent="0.35">
      <c r="A221" t="s">
        <v>1186</v>
      </c>
      <c r="B221" s="5" t="s">
        <v>409</v>
      </c>
      <c r="C221" s="5" t="s">
        <v>408</v>
      </c>
      <c r="D221" s="5" t="str">
        <f>"Q"&amp;ROUNDUP(MONTH(B221)/3,0)</f>
        <v>Q2</v>
      </c>
      <c r="E221" t="s">
        <v>16</v>
      </c>
      <c r="F221" t="s">
        <v>22</v>
      </c>
      <c r="G221" t="s">
        <v>85</v>
      </c>
      <c r="H221" t="s">
        <v>78</v>
      </c>
      <c r="I221" t="s">
        <v>19</v>
      </c>
      <c r="J221" s="4">
        <v>1</v>
      </c>
      <c r="K221" s="3">
        <v>122.57</v>
      </c>
      <c r="L221">
        <v>15</v>
      </c>
      <c r="M221" s="2">
        <v>104.18</v>
      </c>
      <c r="N221" s="2">
        <v>58.08</v>
      </c>
      <c r="O221" s="2">
        <v>46.1</v>
      </c>
      <c r="P221" s="1">
        <f>(Sales_Data[[#This Row],[Profit]]/Sales_Data[[#This Row],[Revenue]])</f>
        <v>0.44250335956997505</v>
      </c>
    </row>
    <row r="222" spans="1:16" x14ac:dyDescent="0.35">
      <c r="A222" t="s">
        <v>1185</v>
      </c>
      <c r="B222" s="5" t="s">
        <v>1174</v>
      </c>
      <c r="C222" s="5" t="s">
        <v>408</v>
      </c>
      <c r="D222" s="5" t="str">
        <f>"Q"&amp;ROUNDUP(MONTH(B222)/3,0)</f>
        <v>Q2</v>
      </c>
      <c r="E222" t="s">
        <v>4</v>
      </c>
      <c r="F222" t="s">
        <v>52</v>
      </c>
      <c r="G222" t="s">
        <v>147</v>
      </c>
      <c r="H222" t="s">
        <v>59</v>
      </c>
      <c r="I222" t="s">
        <v>0</v>
      </c>
      <c r="J222" s="4">
        <v>2</v>
      </c>
      <c r="K222" s="3">
        <v>1377.63</v>
      </c>
      <c r="L222">
        <v>15</v>
      </c>
      <c r="M222" s="2">
        <v>2341.9699999999998</v>
      </c>
      <c r="N222" s="2">
        <v>1849.91</v>
      </c>
      <c r="O222" s="2">
        <v>492.06</v>
      </c>
      <c r="P222" s="1">
        <f>(Sales_Data[[#This Row],[Profit]]/Sales_Data[[#This Row],[Revenue]])</f>
        <v>0.21010516787149283</v>
      </c>
    </row>
    <row r="223" spans="1:16" x14ac:dyDescent="0.35">
      <c r="A223" t="s">
        <v>1184</v>
      </c>
      <c r="B223" s="5" t="s">
        <v>698</v>
      </c>
      <c r="C223" s="5" t="s">
        <v>408</v>
      </c>
      <c r="D223" s="5" t="str">
        <f>"Q"&amp;ROUNDUP(MONTH(B223)/3,0)</f>
        <v>Q2</v>
      </c>
      <c r="E223" t="s">
        <v>23</v>
      </c>
      <c r="F223" t="s">
        <v>22</v>
      </c>
      <c r="G223" t="s">
        <v>137</v>
      </c>
      <c r="H223" t="s">
        <v>20</v>
      </c>
      <c r="I223" t="s">
        <v>19</v>
      </c>
      <c r="J223" s="4">
        <v>4</v>
      </c>
      <c r="K223" s="3">
        <v>31.46</v>
      </c>
      <c r="L223">
        <v>15</v>
      </c>
      <c r="M223" s="2">
        <v>106.96</v>
      </c>
      <c r="N223" s="2">
        <v>74.91</v>
      </c>
      <c r="O223" s="2">
        <v>32.049999999999997</v>
      </c>
      <c r="P223" s="1">
        <f>(Sales_Data[[#This Row],[Profit]]/Sales_Data[[#This Row],[Revenue]])</f>
        <v>0.29964472700074796</v>
      </c>
    </row>
    <row r="224" spans="1:16" x14ac:dyDescent="0.35">
      <c r="A224" t="s">
        <v>1183</v>
      </c>
      <c r="B224" s="5" t="s">
        <v>1182</v>
      </c>
      <c r="C224" s="5" t="s">
        <v>408</v>
      </c>
      <c r="D224" s="5" t="str">
        <f>"Q"&amp;ROUNDUP(MONTH(B224)/3,0)</f>
        <v>Q2</v>
      </c>
      <c r="E224" t="s">
        <v>36</v>
      </c>
      <c r="F224" t="s">
        <v>11</v>
      </c>
      <c r="G224" t="s">
        <v>15</v>
      </c>
      <c r="H224" t="s">
        <v>1</v>
      </c>
      <c r="I224" t="s">
        <v>0</v>
      </c>
      <c r="J224" s="4">
        <v>5</v>
      </c>
      <c r="K224" s="3">
        <v>460.89</v>
      </c>
      <c r="L224">
        <v>15</v>
      </c>
      <c r="M224" s="2">
        <v>1958.78</v>
      </c>
      <c r="N224" s="2">
        <v>1221</v>
      </c>
      <c r="O224" s="2">
        <v>737.78</v>
      </c>
      <c r="P224" s="1">
        <f>(Sales_Data[[#This Row],[Profit]]/Sales_Data[[#This Row],[Revenue]])</f>
        <v>0.37665281450698901</v>
      </c>
    </row>
    <row r="225" spans="1:16" x14ac:dyDescent="0.35">
      <c r="A225" t="s">
        <v>1181</v>
      </c>
      <c r="B225" s="5" t="s">
        <v>949</v>
      </c>
      <c r="C225" s="5" t="s">
        <v>408</v>
      </c>
      <c r="D225" s="5" t="str">
        <f>"Q"&amp;ROUNDUP(MONTH(B225)/3,0)</f>
        <v>Q2</v>
      </c>
      <c r="E225" t="s">
        <v>36</v>
      </c>
      <c r="F225" t="s">
        <v>63</v>
      </c>
      <c r="G225" t="s">
        <v>26</v>
      </c>
      <c r="H225" t="s">
        <v>50</v>
      </c>
      <c r="I225" t="s">
        <v>49</v>
      </c>
      <c r="J225" s="4">
        <v>3</v>
      </c>
      <c r="K225" s="3">
        <v>4462.63</v>
      </c>
      <c r="L225">
        <v>15</v>
      </c>
      <c r="M225" s="2">
        <v>11379.71</v>
      </c>
      <c r="N225" s="2">
        <v>7179.96</v>
      </c>
      <c r="O225" s="2">
        <v>4199.75</v>
      </c>
      <c r="P225" s="1">
        <f>(Sales_Data[[#This Row],[Profit]]/Sales_Data[[#This Row],[Revenue]])</f>
        <v>0.36905597770066201</v>
      </c>
    </row>
    <row r="226" spans="1:16" x14ac:dyDescent="0.35">
      <c r="A226" t="s">
        <v>1180</v>
      </c>
      <c r="B226" s="5" t="s">
        <v>1177</v>
      </c>
      <c r="C226" s="5" t="s">
        <v>408</v>
      </c>
      <c r="D226" s="5" t="str">
        <f>"Q"&amp;ROUNDUP(MONTH(B226)/3,0)</f>
        <v>Q2</v>
      </c>
      <c r="E226" t="s">
        <v>36</v>
      </c>
      <c r="F226" t="s">
        <v>11</v>
      </c>
      <c r="G226" t="s">
        <v>309</v>
      </c>
      <c r="H226" t="s">
        <v>1</v>
      </c>
      <c r="I226" t="s">
        <v>0</v>
      </c>
      <c r="J226" s="4">
        <v>3</v>
      </c>
      <c r="K226" s="3">
        <v>528.94000000000005</v>
      </c>
      <c r="L226">
        <v>15</v>
      </c>
      <c r="M226" s="2">
        <v>1348.8</v>
      </c>
      <c r="N226" s="2">
        <v>1076.17</v>
      </c>
      <c r="O226" s="2">
        <v>272.63</v>
      </c>
      <c r="P226" s="1">
        <f>(Sales_Data[[#This Row],[Profit]]/Sales_Data[[#This Row],[Revenue]])</f>
        <v>0.20212781731909846</v>
      </c>
    </row>
    <row r="227" spans="1:16" x14ac:dyDescent="0.35">
      <c r="A227" t="s">
        <v>1179</v>
      </c>
      <c r="B227" s="5" t="s">
        <v>421</v>
      </c>
      <c r="C227" s="5" t="s">
        <v>408</v>
      </c>
      <c r="D227" s="5" t="str">
        <f>"Q"&amp;ROUNDUP(MONTH(B227)/3,0)</f>
        <v>Q2</v>
      </c>
      <c r="E227" t="s">
        <v>4</v>
      </c>
      <c r="F227" t="s">
        <v>22</v>
      </c>
      <c r="G227" t="s">
        <v>10</v>
      </c>
      <c r="H227" t="s">
        <v>78</v>
      </c>
      <c r="I227" t="s">
        <v>19</v>
      </c>
      <c r="J227" s="4">
        <v>4</v>
      </c>
      <c r="K227" s="3">
        <v>112.91</v>
      </c>
      <c r="L227">
        <v>15</v>
      </c>
      <c r="M227" s="2">
        <v>383.89</v>
      </c>
      <c r="N227" s="2">
        <v>260.75</v>
      </c>
      <c r="O227" s="2">
        <v>123.14</v>
      </c>
      <c r="P227" s="1">
        <f>(Sales_Data[[#This Row],[Profit]]/Sales_Data[[#This Row],[Revenue]])</f>
        <v>0.32076897027794421</v>
      </c>
    </row>
    <row r="228" spans="1:16" x14ac:dyDescent="0.35">
      <c r="A228" t="s">
        <v>1178</v>
      </c>
      <c r="B228" s="5" t="s">
        <v>1177</v>
      </c>
      <c r="C228" s="5" t="s">
        <v>408</v>
      </c>
      <c r="D228" s="5" t="str">
        <f>"Q"&amp;ROUNDUP(MONTH(B228)/3,0)</f>
        <v>Q2</v>
      </c>
      <c r="E228" t="s">
        <v>36</v>
      </c>
      <c r="F228" t="s">
        <v>56</v>
      </c>
      <c r="G228" t="s">
        <v>82</v>
      </c>
      <c r="H228" t="s">
        <v>34</v>
      </c>
      <c r="I228" t="s">
        <v>8</v>
      </c>
      <c r="J228" s="4">
        <v>7</v>
      </c>
      <c r="K228" s="3">
        <v>22693.85</v>
      </c>
      <c r="L228">
        <v>15</v>
      </c>
      <c r="M228" s="2">
        <v>135028.41</v>
      </c>
      <c r="N228" s="2">
        <v>76013.33</v>
      </c>
      <c r="O228" s="2">
        <v>59015.08</v>
      </c>
      <c r="P228" s="1">
        <f>(Sales_Data[[#This Row],[Profit]]/Sales_Data[[#This Row],[Revenue]])</f>
        <v>0.43705676457272957</v>
      </c>
    </row>
    <row r="229" spans="1:16" x14ac:dyDescent="0.35">
      <c r="A229" t="s">
        <v>1176</v>
      </c>
      <c r="B229" s="5" t="s">
        <v>712</v>
      </c>
      <c r="C229" s="5" t="s">
        <v>408</v>
      </c>
      <c r="D229" s="5" t="str">
        <f>"Q"&amp;ROUNDUP(MONTH(B229)/3,0)</f>
        <v>Q2</v>
      </c>
      <c r="E229" t="s">
        <v>36</v>
      </c>
      <c r="F229" t="s">
        <v>56</v>
      </c>
      <c r="G229" t="s">
        <v>82</v>
      </c>
      <c r="H229" t="s">
        <v>111</v>
      </c>
      <c r="I229" t="s">
        <v>49</v>
      </c>
      <c r="J229" s="4">
        <v>7</v>
      </c>
      <c r="K229" s="3">
        <v>7914.87</v>
      </c>
      <c r="L229">
        <v>15</v>
      </c>
      <c r="M229" s="2">
        <v>47093.48</v>
      </c>
      <c r="N229" s="2">
        <v>35374.879999999997</v>
      </c>
      <c r="O229" s="2">
        <v>11718.6</v>
      </c>
      <c r="P229" s="1">
        <f>(Sales_Data[[#This Row],[Profit]]/Sales_Data[[#This Row],[Revenue]])</f>
        <v>0.2488369939957718</v>
      </c>
    </row>
    <row r="230" spans="1:16" x14ac:dyDescent="0.35">
      <c r="A230" t="s">
        <v>1175</v>
      </c>
      <c r="B230" s="5" t="s">
        <v>1174</v>
      </c>
      <c r="C230" s="5" t="s">
        <v>408</v>
      </c>
      <c r="D230" s="5" t="str">
        <f>"Q"&amp;ROUNDUP(MONTH(B230)/3,0)</f>
        <v>Q2</v>
      </c>
      <c r="E230" t="s">
        <v>16</v>
      </c>
      <c r="F230" t="s">
        <v>56</v>
      </c>
      <c r="G230" t="s">
        <v>10</v>
      </c>
      <c r="H230" t="s">
        <v>14</v>
      </c>
      <c r="I230" t="s">
        <v>8</v>
      </c>
      <c r="J230" s="4">
        <v>6</v>
      </c>
      <c r="K230" s="3">
        <v>2410.1799999999998</v>
      </c>
      <c r="L230">
        <v>15</v>
      </c>
      <c r="M230" s="2">
        <v>12291.92</v>
      </c>
      <c r="N230" s="2">
        <v>10158.67</v>
      </c>
      <c r="O230" s="2">
        <v>2133.25</v>
      </c>
      <c r="P230" s="1">
        <f>(Sales_Data[[#This Row],[Profit]]/Sales_Data[[#This Row],[Revenue]])</f>
        <v>0.17354896549928733</v>
      </c>
    </row>
    <row r="231" spans="1:16" x14ac:dyDescent="0.35">
      <c r="A231" t="s">
        <v>1173</v>
      </c>
      <c r="B231" s="5" t="s">
        <v>701</v>
      </c>
      <c r="C231" s="5" t="s">
        <v>408</v>
      </c>
      <c r="D231" s="5" t="str">
        <f>"Q"&amp;ROUNDUP(MONTH(B231)/3,0)</f>
        <v>Q2</v>
      </c>
      <c r="E231" t="s">
        <v>4</v>
      </c>
      <c r="F231" t="s">
        <v>52</v>
      </c>
      <c r="G231" t="s">
        <v>264</v>
      </c>
      <c r="H231" t="s">
        <v>50</v>
      </c>
      <c r="I231" t="s">
        <v>49</v>
      </c>
      <c r="J231" s="4">
        <v>8</v>
      </c>
      <c r="K231" s="3">
        <v>4939.1899999999996</v>
      </c>
      <c r="L231">
        <v>15</v>
      </c>
      <c r="M231" s="2">
        <v>33586.49</v>
      </c>
      <c r="N231" s="2">
        <v>22714.01</v>
      </c>
      <c r="O231" s="2">
        <v>10872.48</v>
      </c>
      <c r="P231" s="1">
        <f>(Sales_Data[[#This Row],[Profit]]/Sales_Data[[#This Row],[Revenue]])</f>
        <v>0.32371587504380483</v>
      </c>
    </row>
    <row r="232" spans="1:16" x14ac:dyDescent="0.35">
      <c r="A232" t="s">
        <v>1172</v>
      </c>
      <c r="B232" s="5" t="s">
        <v>417</v>
      </c>
      <c r="C232" s="5" t="s">
        <v>408</v>
      </c>
      <c r="D232" s="5" t="str">
        <f>"Q"&amp;ROUNDUP(MONTH(B232)/3,0)</f>
        <v>Q2</v>
      </c>
      <c r="E232" t="s">
        <v>36</v>
      </c>
      <c r="F232" t="s">
        <v>22</v>
      </c>
      <c r="G232" t="s">
        <v>124</v>
      </c>
      <c r="H232" t="s">
        <v>14</v>
      </c>
      <c r="I232" t="s">
        <v>8</v>
      </c>
      <c r="J232" s="4">
        <v>8</v>
      </c>
      <c r="K232" s="3">
        <v>2572.46</v>
      </c>
      <c r="L232">
        <v>15</v>
      </c>
      <c r="M232" s="2">
        <v>17492.73</v>
      </c>
      <c r="N232" s="2">
        <v>12699.99</v>
      </c>
      <c r="O232" s="2">
        <v>4792.74</v>
      </c>
      <c r="P232" s="1">
        <f>(Sales_Data[[#This Row],[Profit]]/Sales_Data[[#This Row],[Revenue]])</f>
        <v>0.27398467820631772</v>
      </c>
    </row>
    <row r="233" spans="1:16" x14ac:dyDescent="0.35">
      <c r="A233" t="s">
        <v>1171</v>
      </c>
      <c r="B233" s="5" t="s">
        <v>1160</v>
      </c>
      <c r="C233" s="5" t="s">
        <v>382</v>
      </c>
      <c r="D233" s="5" t="str">
        <f>"Q"&amp;ROUNDUP(MONTH(B233)/3,0)</f>
        <v>Q3</v>
      </c>
      <c r="E233" t="s">
        <v>23</v>
      </c>
      <c r="F233" t="s">
        <v>63</v>
      </c>
      <c r="G233" t="s">
        <v>238</v>
      </c>
      <c r="H233" t="s">
        <v>59</v>
      </c>
      <c r="I233" t="s">
        <v>0</v>
      </c>
      <c r="J233" s="4">
        <v>3</v>
      </c>
      <c r="K233" s="3">
        <v>1477.32</v>
      </c>
      <c r="L233">
        <v>15</v>
      </c>
      <c r="M233" s="2">
        <v>3767.17</v>
      </c>
      <c r="N233" s="2">
        <v>2191.7199999999998</v>
      </c>
      <c r="O233" s="2">
        <v>1575.45</v>
      </c>
      <c r="P233" s="1">
        <f>(Sales_Data[[#This Row],[Profit]]/Sales_Data[[#This Row],[Revenue]])</f>
        <v>0.41820517789215778</v>
      </c>
    </row>
    <row r="234" spans="1:16" x14ac:dyDescent="0.35">
      <c r="A234" t="s">
        <v>1170</v>
      </c>
      <c r="B234" s="5" t="s">
        <v>399</v>
      </c>
      <c r="C234" s="5" t="s">
        <v>382</v>
      </c>
      <c r="D234" s="5" t="str">
        <f>"Q"&amp;ROUNDUP(MONTH(B234)/3,0)</f>
        <v>Q3</v>
      </c>
      <c r="E234" t="s">
        <v>4</v>
      </c>
      <c r="F234" t="s">
        <v>3</v>
      </c>
      <c r="G234" t="s">
        <v>68</v>
      </c>
      <c r="H234" t="s">
        <v>50</v>
      </c>
      <c r="I234" t="s">
        <v>49</v>
      </c>
      <c r="J234" s="4">
        <v>8</v>
      </c>
      <c r="K234" s="3">
        <v>4315.16</v>
      </c>
      <c r="L234">
        <v>15</v>
      </c>
      <c r="M234" s="2">
        <v>29343.09</v>
      </c>
      <c r="N234" s="2">
        <v>16683.57</v>
      </c>
      <c r="O234" s="2">
        <v>12659.52</v>
      </c>
      <c r="P234" s="1">
        <f>(Sales_Data[[#This Row],[Profit]]/Sales_Data[[#This Row],[Revenue]])</f>
        <v>0.4314310456056264</v>
      </c>
    </row>
    <row r="235" spans="1:16" x14ac:dyDescent="0.35">
      <c r="A235" t="s">
        <v>1169</v>
      </c>
      <c r="B235" s="5" t="s">
        <v>923</v>
      </c>
      <c r="C235" s="5" t="s">
        <v>382</v>
      </c>
      <c r="D235" s="5" t="str">
        <f>"Q"&amp;ROUNDUP(MONTH(B235)/3,0)</f>
        <v>Q3</v>
      </c>
      <c r="E235" t="s">
        <v>16</v>
      </c>
      <c r="F235" t="s">
        <v>3</v>
      </c>
      <c r="G235" t="s">
        <v>112</v>
      </c>
      <c r="H235" t="s">
        <v>78</v>
      </c>
      <c r="I235" t="s">
        <v>19</v>
      </c>
      <c r="J235" s="4">
        <v>1</v>
      </c>
      <c r="K235" s="3">
        <v>109.15</v>
      </c>
      <c r="L235">
        <v>15</v>
      </c>
      <c r="M235" s="2">
        <v>92.78</v>
      </c>
      <c r="N235" s="2">
        <v>78.38</v>
      </c>
      <c r="O235" s="2">
        <v>14.4</v>
      </c>
      <c r="P235" s="1">
        <f>(Sales_Data[[#This Row],[Profit]]/Sales_Data[[#This Row],[Revenue]])</f>
        <v>0.1552058633326148</v>
      </c>
    </row>
    <row r="236" spans="1:16" x14ac:dyDescent="0.35">
      <c r="A236" t="s">
        <v>1168</v>
      </c>
      <c r="B236" s="5" t="s">
        <v>681</v>
      </c>
      <c r="C236" s="5" t="s">
        <v>382</v>
      </c>
      <c r="D236" s="5" t="str">
        <f>"Q"&amp;ROUNDUP(MONTH(B236)/3,0)</f>
        <v>Q3</v>
      </c>
      <c r="E236" t="s">
        <v>23</v>
      </c>
      <c r="F236" t="s">
        <v>22</v>
      </c>
      <c r="G236" t="s">
        <v>118</v>
      </c>
      <c r="H236" t="s">
        <v>9</v>
      </c>
      <c r="I236" t="s">
        <v>8</v>
      </c>
      <c r="J236" s="4">
        <v>3</v>
      </c>
      <c r="K236" s="3">
        <v>60797.73</v>
      </c>
      <c r="L236">
        <v>15</v>
      </c>
      <c r="M236" s="2">
        <v>155034.21</v>
      </c>
      <c r="N236" s="2">
        <v>106513.62</v>
      </c>
      <c r="O236" s="2">
        <v>48520.59</v>
      </c>
      <c r="P236" s="1">
        <f>(Sales_Data[[#This Row],[Profit]]/Sales_Data[[#This Row],[Revenue]])</f>
        <v>0.31296698967279546</v>
      </c>
    </row>
    <row r="237" spans="1:16" x14ac:dyDescent="0.35">
      <c r="A237" t="s">
        <v>1167</v>
      </c>
      <c r="B237" s="5" t="s">
        <v>935</v>
      </c>
      <c r="C237" s="5" t="s">
        <v>382</v>
      </c>
      <c r="D237" s="5" t="str">
        <f>"Q"&amp;ROUNDUP(MONTH(B237)/3,0)</f>
        <v>Q3</v>
      </c>
      <c r="E237" t="s">
        <v>23</v>
      </c>
      <c r="F237" t="s">
        <v>52</v>
      </c>
      <c r="G237" t="s">
        <v>85</v>
      </c>
      <c r="H237" t="s">
        <v>59</v>
      </c>
      <c r="I237" t="s">
        <v>0</v>
      </c>
      <c r="J237" s="4">
        <v>5</v>
      </c>
      <c r="K237" s="3">
        <v>1533.57</v>
      </c>
      <c r="L237">
        <v>15</v>
      </c>
      <c r="M237" s="2">
        <v>6517.67</v>
      </c>
      <c r="N237" s="2">
        <v>5156.9399999999996</v>
      </c>
      <c r="O237" s="2">
        <v>1360.73</v>
      </c>
      <c r="P237" s="1">
        <f>(Sales_Data[[#This Row],[Profit]]/Sales_Data[[#This Row],[Revenue]])</f>
        <v>0.20877552867819327</v>
      </c>
    </row>
    <row r="238" spans="1:16" x14ac:dyDescent="0.35">
      <c r="A238" t="s">
        <v>1166</v>
      </c>
      <c r="B238" s="5" t="s">
        <v>406</v>
      </c>
      <c r="C238" s="5" t="s">
        <v>382</v>
      </c>
      <c r="D238" s="5" t="str">
        <f>"Q"&amp;ROUNDUP(MONTH(B238)/3,0)</f>
        <v>Q3</v>
      </c>
      <c r="E238" t="s">
        <v>36</v>
      </c>
      <c r="F238" t="s">
        <v>56</v>
      </c>
      <c r="G238" t="s">
        <v>309</v>
      </c>
      <c r="H238" t="s">
        <v>45</v>
      </c>
      <c r="I238" t="s">
        <v>8</v>
      </c>
      <c r="J238" s="4">
        <v>2</v>
      </c>
      <c r="K238" s="3">
        <v>828.49</v>
      </c>
      <c r="L238">
        <v>15</v>
      </c>
      <c r="M238" s="2">
        <v>1408.43</v>
      </c>
      <c r="N238" s="2">
        <v>1030.33</v>
      </c>
      <c r="O238" s="2">
        <v>378.1</v>
      </c>
      <c r="P238" s="1">
        <f>(Sales_Data[[#This Row],[Profit]]/Sales_Data[[#This Row],[Revenue]])</f>
        <v>0.26845494628771044</v>
      </c>
    </row>
    <row r="239" spans="1:16" x14ac:dyDescent="0.35">
      <c r="A239" t="s">
        <v>1165</v>
      </c>
      <c r="B239" s="5" t="s">
        <v>935</v>
      </c>
      <c r="C239" s="5" t="s">
        <v>382</v>
      </c>
      <c r="D239" s="5" t="str">
        <f>"Q"&amp;ROUNDUP(MONTH(B239)/3,0)</f>
        <v>Q3</v>
      </c>
      <c r="E239" t="s">
        <v>16</v>
      </c>
      <c r="F239" t="s">
        <v>11</v>
      </c>
      <c r="G239" t="s">
        <v>238</v>
      </c>
      <c r="H239" t="s">
        <v>14</v>
      </c>
      <c r="I239" t="s">
        <v>8</v>
      </c>
      <c r="J239" s="4">
        <v>7</v>
      </c>
      <c r="K239" s="3">
        <v>2502.02</v>
      </c>
      <c r="L239">
        <v>15</v>
      </c>
      <c r="M239" s="2">
        <v>14887.02</v>
      </c>
      <c r="N239" s="2">
        <v>10373.540000000001</v>
      </c>
      <c r="O239" s="2">
        <v>4513.4799999999996</v>
      </c>
      <c r="P239" s="1">
        <f>(Sales_Data[[#This Row],[Profit]]/Sales_Data[[#This Row],[Revenue]])</f>
        <v>0.30318223526266502</v>
      </c>
    </row>
    <row r="240" spans="1:16" x14ac:dyDescent="0.35">
      <c r="A240" t="s">
        <v>1164</v>
      </c>
      <c r="B240" s="5" t="s">
        <v>396</v>
      </c>
      <c r="C240" s="5" t="s">
        <v>382</v>
      </c>
      <c r="D240" s="5" t="str">
        <f>"Q"&amp;ROUNDUP(MONTH(B240)/3,0)</f>
        <v>Q3</v>
      </c>
      <c r="E240" t="s">
        <v>16</v>
      </c>
      <c r="F240" t="s">
        <v>52</v>
      </c>
      <c r="G240" t="s">
        <v>112</v>
      </c>
      <c r="H240" t="s">
        <v>78</v>
      </c>
      <c r="I240" t="s">
        <v>19</v>
      </c>
      <c r="J240" s="4">
        <v>6</v>
      </c>
      <c r="K240" s="3">
        <v>120.68</v>
      </c>
      <c r="L240">
        <v>15</v>
      </c>
      <c r="M240" s="2">
        <v>615.47</v>
      </c>
      <c r="N240" s="2">
        <v>488.24</v>
      </c>
      <c r="O240" s="2">
        <v>127.23</v>
      </c>
      <c r="P240" s="1">
        <f>(Sales_Data[[#This Row],[Profit]]/Sales_Data[[#This Row],[Revenue]])</f>
        <v>0.20672006759062181</v>
      </c>
    </row>
    <row r="241" spans="1:16" x14ac:dyDescent="0.35">
      <c r="A241" t="s">
        <v>1163</v>
      </c>
      <c r="B241" s="5" t="s">
        <v>1162</v>
      </c>
      <c r="C241" s="5" t="s">
        <v>382</v>
      </c>
      <c r="D241" s="5" t="str">
        <f>"Q"&amp;ROUNDUP(MONTH(B241)/3,0)</f>
        <v>Q3</v>
      </c>
      <c r="E241" t="s">
        <v>16</v>
      </c>
      <c r="F241" t="s">
        <v>52</v>
      </c>
      <c r="G241" t="s">
        <v>46</v>
      </c>
      <c r="H241" t="s">
        <v>45</v>
      </c>
      <c r="I241" t="s">
        <v>8</v>
      </c>
      <c r="J241" s="4">
        <v>3</v>
      </c>
      <c r="K241" s="3">
        <v>891.68</v>
      </c>
      <c r="L241">
        <v>15</v>
      </c>
      <c r="M241" s="2">
        <v>2273.7800000000002</v>
      </c>
      <c r="N241" s="2">
        <v>1434.91</v>
      </c>
      <c r="O241" s="2">
        <v>838.87</v>
      </c>
      <c r="P241" s="1">
        <f>(Sales_Data[[#This Row],[Profit]]/Sales_Data[[#This Row],[Revenue]])</f>
        <v>0.36893191073894571</v>
      </c>
    </row>
    <row r="242" spans="1:16" x14ac:dyDescent="0.35">
      <c r="A242" t="s">
        <v>1161</v>
      </c>
      <c r="B242" s="5" t="s">
        <v>1160</v>
      </c>
      <c r="C242" s="5" t="s">
        <v>382</v>
      </c>
      <c r="D242" s="5" t="str">
        <f>"Q"&amp;ROUNDUP(MONTH(B242)/3,0)</f>
        <v>Q3</v>
      </c>
      <c r="E242" t="s">
        <v>36</v>
      </c>
      <c r="F242" t="s">
        <v>11</v>
      </c>
      <c r="G242" t="s">
        <v>174</v>
      </c>
      <c r="H242" t="s">
        <v>1</v>
      </c>
      <c r="I242" t="s">
        <v>0</v>
      </c>
      <c r="J242" s="4">
        <v>5</v>
      </c>
      <c r="K242" s="3">
        <v>532.04999999999995</v>
      </c>
      <c r="L242">
        <v>15</v>
      </c>
      <c r="M242" s="2">
        <v>2261.21</v>
      </c>
      <c r="N242" s="2">
        <v>1657.02</v>
      </c>
      <c r="O242" s="2">
        <v>604.19000000000005</v>
      </c>
      <c r="P242" s="1">
        <f>(Sales_Data[[#This Row],[Profit]]/Sales_Data[[#This Row],[Revenue]])</f>
        <v>0.26719765081527147</v>
      </c>
    </row>
    <row r="243" spans="1:16" x14ac:dyDescent="0.35">
      <c r="A243" t="s">
        <v>1159</v>
      </c>
      <c r="B243" s="5" t="s">
        <v>1158</v>
      </c>
      <c r="C243" s="5" t="s">
        <v>382</v>
      </c>
      <c r="D243" s="5" t="str">
        <f>"Q"&amp;ROUNDUP(MONTH(B243)/3,0)</f>
        <v>Q3</v>
      </c>
      <c r="E243" t="s">
        <v>36</v>
      </c>
      <c r="F243" t="s">
        <v>52</v>
      </c>
      <c r="G243" t="s">
        <v>124</v>
      </c>
      <c r="H243" t="s">
        <v>78</v>
      </c>
      <c r="I243" t="s">
        <v>19</v>
      </c>
      <c r="J243" s="4">
        <v>4</v>
      </c>
      <c r="K243" s="3">
        <v>114.57</v>
      </c>
      <c r="L243">
        <v>15</v>
      </c>
      <c r="M243" s="2">
        <v>389.54</v>
      </c>
      <c r="N243" s="2">
        <v>216.39</v>
      </c>
      <c r="O243" s="2">
        <v>173.15</v>
      </c>
      <c r="P243" s="1">
        <f>(Sales_Data[[#This Row],[Profit]]/Sales_Data[[#This Row],[Revenue]])</f>
        <v>0.44449863942085538</v>
      </c>
    </row>
    <row r="244" spans="1:16" x14ac:dyDescent="0.35">
      <c r="A244" t="s">
        <v>1157</v>
      </c>
      <c r="B244" s="5" t="s">
        <v>401</v>
      </c>
      <c r="C244" s="5" t="s">
        <v>382</v>
      </c>
      <c r="D244" s="5" t="str">
        <f>"Q"&amp;ROUNDUP(MONTH(B244)/3,0)</f>
        <v>Q3</v>
      </c>
      <c r="E244" t="s">
        <v>4</v>
      </c>
      <c r="F244" t="s">
        <v>63</v>
      </c>
      <c r="G244" t="s">
        <v>2</v>
      </c>
      <c r="H244" t="s">
        <v>50</v>
      </c>
      <c r="I244" t="s">
        <v>49</v>
      </c>
      <c r="J244" s="4">
        <v>2</v>
      </c>
      <c r="K244" s="3">
        <v>4302.6499999999996</v>
      </c>
      <c r="L244">
        <v>15</v>
      </c>
      <c r="M244" s="2">
        <v>7314.5</v>
      </c>
      <c r="N244" s="2">
        <v>4991.17</v>
      </c>
      <c r="O244" s="2">
        <v>2323.33</v>
      </c>
      <c r="P244" s="1">
        <f>(Sales_Data[[#This Row],[Profit]]/Sales_Data[[#This Row],[Revenue]])</f>
        <v>0.31763346776949891</v>
      </c>
    </row>
    <row r="245" spans="1:16" x14ac:dyDescent="0.35">
      <c r="A245" t="s">
        <v>1156</v>
      </c>
      <c r="B245" s="5" t="s">
        <v>387</v>
      </c>
      <c r="C245" s="5" t="s">
        <v>382</v>
      </c>
      <c r="D245" s="5" t="str">
        <f>"Q"&amp;ROUNDUP(MONTH(B245)/3,0)</f>
        <v>Q3</v>
      </c>
      <c r="E245" t="s">
        <v>4</v>
      </c>
      <c r="F245" t="s">
        <v>22</v>
      </c>
      <c r="G245" t="s">
        <v>46</v>
      </c>
      <c r="H245" t="s">
        <v>14</v>
      </c>
      <c r="I245" t="s">
        <v>8</v>
      </c>
      <c r="J245" s="4">
        <v>7</v>
      </c>
      <c r="K245" s="3">
        <v>2259.85</v>
      </c>
      <c r="L245">
        <v>15</v>
      </c>
      <c r="M245" s="2">
        <v>13446.11</v>
      </c>
      <c r="N245" s="2">
        <v>8780.31</v>
      </c>
      <c r="O245" s="2">
        <v>4665.8</v>
      </c>
      <c r="P245" s="1">
        <f>(Sales_Data[[#This Row],[Profit]]/Sales_Data[[#This Row],[Revenue]])</f>
        <v>0.34699998735693816</v>
      </c>
    </row>
    <row r="246" spans="1:16" x14ac:dyDescent="0.35">
      <c r="A246" t="s">
        <v>1155</v>
      </c>
      <c r="B246" s="5" t="s">
        <v>675</v>
      </c>
      <c r="C246" s="5" t="s">
        <v>382</v>
      </c>
      <c r="D246" s="5" t="str">
        <f>"Q"&amp;ROUNDUP(MONTH(B246)/3,0)</f>
        <v>Q3</v>
      </c>
      <c r="E246" t="s">
        <v>4</v>
      </c>
      <c r="F246" t="s">
        <v>56</v>
      </c>
      <c r="G246" t="s">
        <v>29</v>
      </c>
      <c r="H246" t="s">
        <v>14</v>
      </c>
      <c r="I246" t="s">
        <v>8</v>
      </c>
      <c r="J246" s="4">
        <v>6</v>
      </c>
      <c r="K246" s="3">
        <v>2558.41</v>
      </c>
      <c r="L246">
        <v>15</v>
      </c>
      <c r="M246" s="2">
        <v>13047.89</v>
      </c>
      <c r="N246" s="2">
        <v>9156.42</v>
      </c>
      <c r="O246" s="2">
        <v>3891.47</v>
      </c>
      <c r="P246" s="1">
        <f>(Sales_Data[[#This Row],[Profit]]/Sales_Data[[#This Row],[Revenue]])</f>
        <v>0.29824515687977138</v>
      </c>
    </row>
    <row r="247" spans="1:16" x14ac:dyDescent="0.35">
      <c r="A247" t="s">
        <v>1154</v>
      </c>
      <c r="B247" s="5" t="s">
        <v>689</v>
      </c>
      <c r="C247" s="5" t="s">
        <v>382</v>
      </c>
      <c r="D247" s="5" t="str">
        <f>"Q"&amp;ROUNDUP(MONTH(B247)/3,0)</f>
        <v>Q3</v>
      </c>
      <c r="E247" t="s">
        <v>4</v>
      </c>
      <c r="F247" t="s">
        <v>52</v>
      </c>
      <c r="G247" t="s">
        <v>264</v>
      </c>
      <c r="H247" t="s">
        <v>14</v>
      </c>
      <c r="I247" t="s">
        <v>8</v>
      </c>
      <c r="J247" s="4">
        <v>5</v>
      </c>
      <c r="K247" s="3">
        <v>2603.52</v>
      </c>
      <c r="L247">
        <v>15</v>
      </c>
      <c r="M247" s="2">
        <v>11064.96</v>
      </c>
      <c r="N247" s="2">
        <v>7255.71</v>
      </c>
      <c r="O247" s="2">
        <v>3809.25</v>
      </c>
      <c r="P247" s="1">
        <f>(Sales_Data[[#This Row],[Profit]]/Sales_Data[[#This Row],[Revenue]])</f>
        <v>0.34426242842269655</v>
      </c>
    </row>
    <row r="248" spans="1:16" x14ac:dyDescent="0.35">
      <c r="A248" t="s">
        <v>1153</v>
      </c>
      <c r="B248" s="5" t="s">
        <v>654</v>
      </c>
      <c r="C248" s="5" t="s">
        <v>350</v>
      </c>
      <c r="D248" s="5" t="str">
        <f>"Q"&amp;ROUNDUP(MONTH(B248)/3,0)</f>
        <v>Q4</v>
      </c>
      <c r="E248" t="s">
        <v>4</v>
      </c>
      <c r="F248" t="s">
        <v>22</v>
      </c>
      <c r="G248" t="s">
        <v>31</v>
      </c>
      <c r="H248" t="s">
        <v>78</v>
      </c>
      <c r="I248" t="s">
        <v>19</v>
      </c>
      <c r="J248" s="4">
        <v>3</v>
      </c>
      <c r="K248" s="3">
        <v>121.93</v>
      </c>
      <c r="L248">
        <v>15</v>
      </c>
      <c r="M248" s="2">
        <v>310.92</v>
      </c>
      <c r="N248" s="2">
        <v>180.21</v>
      </c>
      <c r="O248" s="2">
        <v>130.71</v>
      </c>
      <c r="P248" s="1">
        <f>(Sales_Data[[#This Row],[Profit]]/Sales_Data[[#This Row],[Revenue]])</f>
        <v>0.42039752991123119</v>
      </c>
    </row>
    <row r="249" spans="1:16" x14ac:dyDescent="0.35">
      <c r="A249" t="s">
        <v>1152</v>
      </c>
      <c r="B249" s="5" t="s">
        <v>910</v>
      </c>
      <c r="C249" s="5" t="s">
        <v>350</v>
      </c>
      <c r="D249" s="5" t="str">
        <f>"Q"&amp;ROUNDUP(MONTH(B249)/3,0)</f>
        <v>Q4</v>
      </c>
      <c r="E249" t="s">
        <v>23</v>
      </c>
      <c r="F249" t="s">
        <v>11</v>
      </c>
      <c r="G249" t="s">
        <v>2</v>
      </c>
      <c r="H249" t="s">
        <v>20</v>
      </c>
      <c r="I249" t="s">
        <v>19</v>
      </c>
      <c r="J249" s="4">
        <v>4</v>
      </c>
      <c r="K249" s="3">
        <v>32.03</v>
      </c>
      <c r="L249">
        <v>15</v>
      </c>
      <c r="M249" s="2">
        <v>108.9</v>
      </c>
      <c r="N249" s="2">
        <v>91.3</v>
      </c>
      <c r="O249" s="2">
        <v>17.600000000000001</v>
      </c>
      <c r="P249" s="1">
        <f>(Sales_Data[[#This Row],[Profit]]/Sales_Data[[#This Row],[Revenue]])</f>
        <v>0.16161616161616163</v>
      </c>
    </row>
    <row r="250" spans="1:16" x14ac:dyDescent="0.35">
      <c r="A250" t="s">
        <v>1151</v>
      </c>
      <c r="B250" s="5" t="s">
        <v>654</v>
      </c>
      <c r="C250" s="5" t="s">
        <v>350</v>
      </c>
      <c r="D250" s="5" t="str">
        <f>"Q"&amp;ROUNDUP(MONTH(B250)/3,0)</f>
        <v>Q4</v>
      </c>
      <c r="E250" t="s">
        <v>4</v>
      </c>
      <c r="F250" t="s">
        <v>52</v>
      </c>
      <c r="G250" t="s">
        <v>150</v>
      </c>
      <c r="H250" t="s">
        <v>1</v>
      </c>
      <c r="I250" t="s">
        <v>0</v>
      </c>
      <c r="J250" s="4">
        <v>7</v>
      </c>
      <c r="K250" s="3">
        <v>502.49</v>
      </c>
      <c r="L250">
        <v>15</v>
      </c>
      <c r="M250" s="2">
        <v>2989.82</v>
      </c>
      <c r="N250" s="2">
        <v>2358.4</v>
      </c>
      <c r="O250" s="2">
        <v>631.41999999999996</v>
      </c>
      <c r="P250" s="1">
        <f>(Sales_Data[[#This Row],[Profit]]/Sales_Data[[#This Row],[Revenue]])</f>
        <v>0.21118997130262021</v>
      </c>
    </row>
    <row r="251" spans="1:16" x14ac:dyDescent="0.35">
      <c r="A251" t="s">
        <v>1150</v>
      </c>
      <c r="B251" s="5" t="s">
        <v>1130</v>
      </c>
      <c r="C251" s="5" t="s">
        <v>350</v>
      </c>
      <c r="D251" s="5" t="str">
        <f>"Q"&amp;ROUNDUP(MONTH(B251)/3,0)</f>
        <v>Q4</v>
      </c>
      <c r="E251" t="s">
        <v>36</v>
      </c>
      <c r="F251" t="s">
        <v>22</v>
      </c>
      <c r="G251" t="s">
        <v>169</v>
      </c>
      <c r="H251" t="s">
        <v>59</v>
      </c>
      <c r="I251" t="s">
        <v>0</v>
      </c>
      <c r="J251" s="4">
        <v>5</v>
      </c>
      <c r="K251" s="3">
        <v>1538.82</v>
      </c>
      <c r="L251">
        <v>15</v>
      </c>
      <c r="M251" s="2">
        <v>6539.98</v>
      </c>
      <c r="N251" s="2">
        <v>4784.84</v>
      </c>
      <c r="O251" s="2">
        <v>1755.14</v>
      </c>
      <c r="P251" s="1">
        <f>(Sales_Data[[#This Row],[Profit]]/Sales_Data[[#This Row],[Revenue]])</f>
        <v>0.26837085128700705</v>
      </c>
    </row>
    <row r="252" spans="1:16" x14ac:dyDescent="0.35">
      <c r="A252" t="s">
        <v>1149</v>
      </c>
      <c r="B252" s="5" t="s">
        <v>353</v>
      </c>
      <c r="C252" s="5" t="s">
        <v>350</v>
      </c>
      <c r="D252" s="5" t="str">
        <f>"Q"&amp;ROUNDUP(MONTH(B252)/3,0)</f>
        <v>Q4</v>
      </c>
      <c r="E252" t="s">
        <v>4</v>
      </c>
      <c r="F252" t="s">
        <v>63</v>
      </c>
      <c r="G252" t="s">
        <v>142</v>
      </c>
      <c r="H252" t="s">
        <v>78</v>
      </c>
      <c r="I252" t="s">
        <v>19</v>
      </c>
      <c r="J252" s="4">
        <v>3</v>
      </c>
      <c r="K252" s="3">
        <v>111.34</v>
      </c>
      <c r="L252">
        <v>15</v>
      </c>
      <c r="M252" s="2">
        <v>283.92</v>
      </c>
      <c r="N252" s="2">
        <v>224.84</v>
      </c>
      <c r="O252" s="2">
        <v>59.08</v>
      </c>
      <c r="P252" s="1">
        <f>(Sales_Data[[#This Row],[Profit]]/Sales_Data[[#This Row],[Revenue]])</f>
        <v>0.20808678500986191</v>
      </c>
    </row>
    <row r="253" spans="1:16" x14ac:dyDescent="0.35">
      <c r="A253" t="s">
        <v>1148</v>
      </c>
      <c r="B253" s="5" t="s">
        <v>1147</v>
      </c>
      <c r="C253" s="5" t="s">
        <v>350</v>
      </c>
      <c r="D253" s="5" t="str">
        <f>"Q"&amp;ROUNDUP(MONTH(B253)/3,0)</f>
        <v>Q4</v>
      </c>
      <c r="E253" t="s">
        <v>16</v>
      </c>
      <c r="F253" t="s">
        <v>63</v>
      </c>
      <c r="G253" t="s">
        <v>169</v>
      </c>
      <c r="H253" t="s">
        <v>59</v>
      </c>
      <c r="I253" t="s">
        <v>0</v>
      </c>
      <c r="J253" s="4">
        <v>7</v>
      </c>
      <c r="K253" s="3">
        <v>1637.78</v>
      </c>
      <c r="L253">
        <v>15</v>
      </c>
      <c r="M253" s="2">
        <v>9744.7900000000009</v>
      </c>
      <c r="N253" s="2">
        <v>6344.98</v>
      </c>
      <c r="O253" s="2">
        <v>3399.81</v>
      </c>
      <c r="P253" s="1">
        <f>(Sales_Data[[#This Row],[Profit]]/Sales_Data[[#This Row],[Revenue]])</f>
        <v>0.34888489131115186</v>
      </c>
    </row>
    <row r="254" spans="1:16" x14ac:dyDescent="0.35">
      <c r="A254" t="s">
        <v>1146</v>
      </c>
      <c r="B254" s="5" t="s">
        <v>908</v>
      </c>
      <c r="C254" s="5" t="s">
        <v>350</v>
      </c>
      <c r="D254" s="5" t="str">
        <f>"Q"&amp;ROUNDUP(MONTH(B254)/3,0)</f>
        <v>Q4</v>
      </c>
      <c r="E254" t="s">
        <v>4</v>
      </c>
      <c r="F254" t="s">
        <v>63</v>
      </c>
      <c r="G254" t="s">
        <v>29</v>
      </c>
      <c r="H254" t="s">
        <v>14</v>
      </c>
      <c r="I254" t="s">
        <v>8</v>
      </c>
      <c r="J254" s="4">
        <v>8</v>
      </c>
      <c r="K254" s="3">
        <v>2609.85</v>
      </c>
      <c r="L254">
        <v>15</v>
      </c>
      <c r="M254" s="2">
        <v>17746.98</v>
      </c>
      <c r="N254" s="2">
        <v>12943.95</v>
      </c>
      <c r="O254" s="2">
        <v>4803.03</v>
      </c>
      <c r="P254" s="1">
        <f>(Sales_Data[[#This Row],[Profit]]/Sales_Data[[#This Row],[Revenue]])</f>
        <v>0.27063928623348871</v>
      </c>
    </row>
    <row r="255" spans="1:16" x14ac:dyDescent="0.35">
      <c r="A255" t="s">
        <v>1145</v>
      </c>
      <c r="B255" s="5" t="s">
        <v>359</v>
      </c>
      <c r="C255" s="5" t="s">
        <v>350</v>
      </c>
      <c r="D255" s="5" t="str">
        <f>"Q"&amp;ROUNDUP(MONTH(B255)/3,0)</f>
        <v>Q4</v>
      </c>
      <c r="E255" t="s">
        <v>36</v>
      </c>
      <c r="F255" t="s">
        <v>52</v>
      </c>
      <c r="G255" t="s">
        <v>309</v>
      </c>
      <c r="H255" t="s">
        <v>9</v>
      </c>
      <c r="I255" t="s">
        <v>8</v>
      </c>
      <c r="J255" s="4">
        <v>1</v>
      </c>
      <c r="K255" s="3">
        <v>54980.26</v>
      </c>
      <c r="L255">
        <v>15</v>
      </c>
      <c r="M255" s="2">
        <v>46733.22</v>
      </c>
      <c r="N255" s="2">
        <v>27383.29</v>
      </c>
      <c r="O255" s="2">
        <v>19349.93</v>
      </c>
      <c r="P255" s="1">
        <f>(Sales_Data[[#This Row],[Profit]]/Sales_Data[[#This Row],[Revenue]])</f>
        <v>0.41405086146428599</v>
      </c>
    </row>
    <row r="256" spans="1:16" x14ac:dyDescent="0.35">
      <c r="A256" t="s">
        <v>1144</v>
      </c>
      <c r="B256" s="5" t="s">
        <v>355</v>
      </c>
      <c r="C256" s="5" t="s">
        <v>350</v>
      </c>
      <c r="D256" s="5" t="str">
        <f>"Q"&amp;ROUNDUP(MONTH(B256)/3,0)</f>
        <v>Q4</v>
      </c>
      <c r="E256" t="s">
        <v>23</v>
      </c>
      <c r="F256" t="s">
        <v>56</v>
      </c>
      <c r="G256" t="s">
        <v>71</v>
      </c>
      <c r="H256" t="s">
        <v>59</v>
      </c>
      <c r="I256" t="s">
        <v>0</v>
      </c>
      <c r="J256" s="4">
        <v>2</v>
      </c>
      <c r="K256" s="3">
        <v>1641.2</v>
      </c>
      <c r="L256">
        <v>15</v>
      </c>
      <c r="M256" s="2">
        <v>2790.04</v>
      </c>
      <c r="N256" s="2">
        <v>1562.62</v>
      </c>
      <c r="O256" s="2">
        <v>1227.42</v>
      </c>
      <c r="P256" s="1">
        <f>(Sales_Data[[#This Row],[Profit]]/Sales_Data[[#This Row],[Revenue]])</f>
        <v>0.43992917664262882</v>
      </c>
    </row>
    <row r="257" spans="1:16" x14ac:dyDescent="0.35">
      <c r="A257" t="s">
        <v>1143</v>
      </c>
      <c r="B257" s="5" t="s">
        <v>365</v>
      </c>
      <c r="C257" s="5" t="s">
        <v>350</v>
      </c>
      <c r="D257" s="5" t="str">
        <f>"Q"&amp;ROUNDUP(MONTH(B257)/3,0)</f>
        <v>Q4</v>
      </c>
      <c r="E257" t="s">
        <v>36</v>
      </c>
      <c r="F257" t="s">
        <v>11</v>
      </c>
      <c r="G257" t="s">
        <v>71</v>
      </c>
      <c r="H257" t="s">
        <v>111</v>
      </c>
      <c r="I257" t="s">
        <v>49</v>
      </c>
      <c r="J257" s="4">
        <v>7</v>
      </c>
      <c r="K257" s="3">
        <v>8473.24</v>
      </c>
      <c r="L257">
        <v>15</v>
      </c>
      <c r="M257" s="2">
        <v>50415.78</v>
      </c>
      <c r="N257" s="2">
        <v>37386.35</v>
      </c>
      <c r="O257" s="2">
        <v>13029.43</v>
      </c>
      <c r="P257" s="1">
        <f>(Sales_Data[[#This Row],[Profit]]/Sales_Data[[#This Row],[Revenue]])</f>
        <v>0.25843952032478723</v>
      </c>
    </row>
    <row r="258" spans="1:16" x14ac:dyDescent="0.35">
      <c r="A258" t="s">
        <v>1142</v>
      </c>
      <c r="B258" s="5" t="s">
        <v>656</v>
      </c>
      <c r="C258" s="5" t="s">
        <v>350</v>
      </c>
      <c r="D258" s="5" t="str">
        <f>"Q"&amp;ROUNDUP(MONTH(B258)/3,0)</f>
        <v>Q4</v>
      </c>
      <c r="E258" t="s">
        <v>36</v>
      </c>
      <c r="F258" t="s">
        <v>22</v>
      </c>
      <c r="G258" t="s">
        <v>124</v>
      </c>
      <c r="H258" t="s">
        <v>50</v>
      </c>
      <c r="I258" t="s">
        <v>49</v>
      </c>
      <c r="J258" s="4">
        <v>6</v>
      </c>
      <c r="K258" s="3">
        <v>4324.2</v>
      </c>
      <c r="L258">
        <v>15</v>
      </c>
      <c r="M258" s="2">
        <v>22053.42</v>
      </c>
      <c r="N258" s="2">
        <v>13234.94</v>
      </c>
      <c r="O258" s="2">
        <v>8818.48</v>
      </c>
      <c r="P258" s="1">
        <f>(Sales_Data[[#This Row],[Profit]]/Sales_Data[[#This Row],[Revenue]])</f>
        <v>0.39986904525465894</v>
      </c>
    </row>
    <row r="259" spans="1:16" x14ac:dyDescent="0.35">
      <c r="A259" t="s">
        <v>1141</v>
      </c>
      <c r="B259" s="5" t="s">
        <v>659</v>
      </c>
      <c r="C259" s="5" t="s">
        <v>350</v>
      </c>
      <c r="D259" s="5" t="str">
        <f>"Q"&amp;ROUNDUP(MONTH(B259)/3,0)</f>
        <v>Q4</v>
      </c>
      <c r="E259" t="s">
        <v>23</v>
      </c>
      <c r="F259" t="s">
        <v>63</v>
      </c>
      <c r="G259" t="s">
        <v>118</v>
      </c>
      <c r="H259" t="s">
        <v>111</v>
      </c>
      <c r="I259" t="s">
        <v>49</v>
      </c>
      <c r="J259" s="4">
        <v>1</v>
      </c>
      <c r="K259" s="3">
        <v>8348.83</v>
      </c>
      <c r="L259">
        <v>15</v>
      </c>
      <c r="M259" s="2">
        <v>7096.51</v>
      </c>
      <c r="N259" s="2">
        <v>5458.07</v>
      </c>
      <c r="O259" s="2">
        <v>1638.44</v>
      </c>
      <c r="P259" s="1">
        <f>(Sales_Data[[#This Row],[Profit]]/Sales_Data[[#This Row],[Revenue]])</f>
        <v>0.23087968593012623</v>
      </c>
    </row>
    <row r="260" spans="1:16" x14ac:dyDescent="0.35">
      <c r="A260" t="s">
        <v>1140</v>
      </c>
      <c r="B260" s="5" t="s">
        <v>661</v>
      </c>
      <c r="C260" s="5" t="s">
        <v>350</v>
      </c>
      <c r="D260" s="5" t="str">
        <f>"Q"&amp;ROUNDUP(MONTH(B260)/3,0)</f>
        <v>Q4</v>
      </c>
      <c r="E260" t="s">
        <v>16</v>
      </c>
      <c r="F260" t="s">
        <v>11</v>
      </c>
      <c r="G260" t="s">
        <v>68</v>
      </c>
      <c r="H260" t="s">
        <v>50</v>
      </c>
      <c r="I260" t="s">
        <v>49</v>
      </c>
      <c r="J260" s="4">
        <v>2</v>
      </c>
      <c r="K260" s="3">
        <v>4123.16</v>
      </c>
      <c r="L260">
        <v>15</v>
      </c>
      <c r="M260" s="2">
        <v>7009.37</v>
      </c>
      <c r="N260" s="2">
        <v>5118.37</v>
      </c>
      <c r="O260" s="2">
        <v>1891</v>
      </c>
      <c r="P260" s="1">
        <f>(Sales_Data[[#This Row],[Profit]]/Sales_Data[[#This Row],[Revenue]])</f>
        <v>0.26978173502040842</v>
      </c>
    </row>
    <row r="261" spans="1:16" x14ac:dyDescent="0.35">
      <c r="A261" t="s">
        <v>1139</v>
      </c>
      <c r="B261" s="5" t="s">
        <v>1132</v>
      </c>
      <c r="C261" s="5" t="s">
        <v>350</v>
      </c>
      <c r="D261" s="5" t="str">
        <f>"Q"&amp;ROUNDUP(MONTH(B261)/3,0)</f>
        <v>Q4</v>
      </c>
      <c r="E261" t="s">
        <v>23</v>
      </c>
      <c r="F261" t="s">
        <v>3</v>
      </c>
      <c r="G261" t="s">
        <v>108</v>
      </c>
      <c r="H261" t="s">
        <v>78</v>
      </c>
      <c r="I261" t="s">
        <v>19</v>
      </c>
      <c r="J261" s="4">
        <v>2</v>
      </c>
      <c r="K261" s="3">
        <v>120.82</v>
      </c>
      <c r="L261">
        <v>15</v>
      </c>
      <c r="M261" s="2">
        <v>205.39</v>
      </c>
      <c r="N261" s="2">
        <v>158.66</v>
      </c>
      <c r="O261" s="2">
        <v>46.73</v>
      </c>
      <c r="P261" s="1">
        <f>(Sales_Data[[#This Row],[Profit]]/Sales_Data[[#This Row],[Revenue]])</f>
        <v>0.22751837966794877</v>
      </c>
    </row>
    <row r="262" spans="1:16" x14ac:dyDescent="0.35">
      <c r="A262" t="s">
        <v>1138</v>
      </c>
      <c r="B262" s="5" t="s">
        <v>1137</v>
      </c>
      <c r="C262" s="5" t="s">
        <v>350</v>
      </c>
      <c r="D262" s="5" t="str">
        <f>"Q"&amp;ROUNDUP(MONTH(B262)/3,0)</f>
        <v>Q4</v>
      </c>
      <c r="E262" t="s">
        <v>16</v>
      </c>
      <c r="F262" t="s">
        <v>63</v>
      </c>
      <c r="G262" t="s">
        <v>214</v>
      </c>
      <c r="H262" t="s">
        <v>59</v>
      </c>
      <c r="I262" t="s">
        <v>0</v>
      </c>
      <c r="J262" s="4">
        <v>7</v>
      </c>
      <c r="K262" s="3">
        <v>1402.9</v>
      </c>
      <c r="L262">
        <v>15</v>
      </c>
      <c r="M262" s="2">
        <v>8347.26</v>
      </c>
      <c r="N262" s="2">
        <v>4758.54</v>
      </c>
      <c r="O262" s="2">
        <v>3588.72</v>
      </c>
      <c r="P262" s="1">
        <f>(Sales_Data[[#This Row],[Profit]]/Sales_Data[[#This Row],[Revenue]])</f>
        <v>0.42992790448602292</v>
      </c>
    </row>
    <row r="263" spans="1:16" x14ac:dyDescent="0.35">
      <c r="A263" t="s">
        <v>1136</v>
      </c>
      <c r="B263" s="5" t="s">
        <v>659</v>
      </c>
      <c r="C263" s="5" t="s">
        <v>350</v>
      </c>
      <c r="D263" s="5" t="str">
        <f>"Q"&amp;ROUNDUP(MONTH(B263)/3,0)</f>
        <v>Q4</v>
      </c>
      <c r="E263" t="s">
        <v>4</v>
      </c>
      <c r="F263" t="s">
        <v>56</v>
      </c>
      <c r="G263" t="s">
        <v>108</v>
      </c>
      <c r="H263" t="s">
        <v>78</v>
      </c>
      <c r="I263" t="s">
        <v>19</v>
      </c>
      <c r="J263" s="4">
        <v>5</v>
      </c>
      <c r="K263" s="3">
        <v>131.47</v>
      </c>
      <c r="L263">
        <v>15</v>
      </c>
      <c r="M263" s="2">
        <v>558.75</v>
      </c>
      <c r="N263" s="2">
        <v>450.25</v>
      </c>
      <c r="O263" s="2">
        <v>108.5</v>
      </c>
      <c r="P263" s="1">
        <f>(Sales_Data[[#This Row],[Profit]]/Sales_Data[[#This Row],[Revenue]])</f>
        <v>0.19418344519015659</v>
      </c>
    </row>
    <row r="264" spans="1:16" x14ac:dyDescent="0.35">
      <c r="A264" t="s">
        <v>1135</v>
      </c>
      <c r="B264" s="5" t="s">
        <v>656</v>
      </c>
      <c r="C264" s="5" t="s">
        <v>350</v>
      </c>
      <c r="D264" s="5" t="str">
        <f>"Q"&amp;ROUNDUP(MONTH(B264)/3,0)</f>
        <v>Q4</v>
      </c>
      <c r="E264" t="s">
        <v>4</v>
      </c>
      <c r="F264" t="s">
        <v>3</v>
      </c>
      <c r="G264" t="s">
        <v>150</v>
      </c>
      <c r="H264" t="s">
        <v>34</v>
      </c>
      <c r="I264" t="s">
        <v>8</v>
      </c>
      <c r="J264" s="4">
        <v>8</v>
      </c>
      <c r="K264" s="3">
        <v>26365.360000000001</v>
      </c>
      <c r="L264">
        <v>15</v>
      </c>
      <c r="M264" s="2">
        <v>179284.45</v>
      </c>
      <c r="N264" s="2">
        <v>121316.03</v>
      </c>
      <c r="O264" s="2">
        <v>57968.42</v>
      </c>
      <c r="P264" s="1">
        <f>(Sales_Data[[#This Row],[Profit]]/Sales_Data[[#This Row],[Revenue]])</f>
        <v>0.32333211274039658</v>
      </c>
    </row>
    <row r="265" spans="1:16" x14ac:dyDescent="0.35">
      <c r="A265" t="s">
        <v>1134</v>
      </c>
      <c r="B265" s="5" t="s">
        <v>377</v>
      </c>
      <c r="C265" s="5" t="s">
        <v>350</v>
      </c>
      <c r="D265" s="5" t="str">
        <f>"Q"&amp;ROUNDUP(MONTH(B265)/3,0)</f>
        <v>Q4</v>
      </c>
      <c r="E265" t="s">
        <v>36</v>
      </c>
      <c r="F265" t="s">
        <v>3</v>
      </c>
      <c r="G265" t="s">
        <v>66</v>
      </c>
      <c r="H265" t="s">
        <v>34</v>
      </c>
      <c r="I265" t="s">
        <v>8</v>
      </c>
      <c r="J265" s="4">
        <v>1</v>
      </c>
      <c r="K265" s="3">
        <v>23650.27</v>
      </c>
      <c r="L265">
        <v>15</v>
      </c>
      <c r="M265" s="2">
        <v>20102.73</v>
      </c>
      <c r="N265" s="2">
        <v>12620.18</v>
      </c>
      <c r="O265" s="2">
        <v>7482.55</v>
      </c>
      <c r="P265" s="1">
        <f>(Sales_Data[[#This Row],[Profit]]/Sales_Data[[#This Row],[Revenue]])</f>
        <v>0.3722156144961406</v>
      </c>
    </row>
    <row r="266" spans="1:16" x14ac:dyDescent="0.35">
      <c r="A266" t="s">
        <v>1133</v>
      </c>
      <c r="B266" s="5" t="s">
        <v>1132</v>
      </c>
      <c r="C266" s="5" t="s">
        <v>350</v>
      </c>
      <c r="D266" s="5" t="str">
        <f>"Q"&amp;ROUNDUP(MONTH(B266)/3,0)</f>
        <v>Q4</v>
      </c>
      <c r="E266" t="s">
        <v>23</v>
      </c>
      <c r="F266" t="s">
        <v>56</v>
      </c>
      <c r="G266" t="s">
        <v>55</v>
      </c>
      <c r="H266" t="s">
        <v>20</v>
      </c>
      <c r="I266" t="s">
        <v>19</v>
      </c>
      <c r="J266" s="4">
        <v>8</v>
      </c>
      <c r="K266" s="3">
        <v>29.31</v>
      </c>
      <c r="L266">
        <v>15</v>
      </c>
      <c r="M266" s="2">
        <v>199.31</v>
      </c>
      <c r="N266" s="2">
        <v>145.56</v>
      </c>
      <c r="O266" s="2">
        <v>53.75</v>
      </c>
      <c r="P266" s="1">
        <f>(Sales_Data[[#This Row],[Profit]]/Sales_Data[[#This Row],[Revenue]])</f>
        <v>0.26968039737092969</v>
      </c>
    </row>
    <row r="267" spans="1:16" x14ac:dyDescent="0.35">
      <c r="A267" t="s">
        <v>1131</v>
      </c>
      <c r="B267" s="5" t="s">
        <v>1130</v>
      </c>
      <c r="C267" s="5" t="s">
        <v>350</v>
      </c>
      <c r="D267" s="5" t="str">
        <f>"Q"&amp;ROUNDUP(MONTH(B267)/3,0)</f>
        <v>Q4</v>
      </c>
      <c r="E267" t="s">
        <v>36</v>
      </c>
      <c r="F267" t="s">
        <v>11</v>
      </c>
      <c r="G267" t="s">
        <v>79</v>
      </c>
      <c r="H267" t="s">
        <v>34</v>
      </c>
      <c r="I267" t="s">
        <v>8</v>
      </c>
      <c r="J267" s="4">
        <v>7</v>
      </c>
      <c r="K267" s="3">
        <v>25737.86</v>
      </c>
      <c r="L267">
        <v>15</v>
      </c>
      <c r="M267" s="2">
        <v>153140.26999999999</v>
      </c>
      <c r="N267" s="2">
        <v>96741.17</v>
      </c>
      <c r="O267" s="2">
        <v>56399.1</v>
      </c>
      <c r="P267" s="1">
        <f>(Sales_Data[[#This Row],[Profit]]/Sales_Data[[#This Row],[Revenue]])</f>
        <v>0.36828392688611561</v>
      </c>
    </row>
    <row r="268" spans="1:16" x14ac:dyDescent="0.35">
      <c r="A268" t="s">
        <v>1129</v>
      </c>
      <c r="B268" s="5" t="s">
        <v>908</v>
      </c>
      <c r="C268" s="5" t="s">
        <v>350</v>
      </c>
      <c r="D268" s="5" t="str">
        <f>"Q"&amp;ROUNDUP(MONTH(B268)/3,0)</f>
        <v>Q4</v>
      </c>
      <c r="E268" t="s">
        <v>23</v>
      </c>
      <c r="F268" t="s">
        <v>22</v>
      </c>
      <c r="G268" t="s">
        <v>60</v>
      </c>
      <c r="H268" t="s">
        <v>20</v>
      </c>
      <c r="I268" t="s">
        <v>19</v>
      </c>
      <c r="J268" s="4">
        <v>6</v>
      </c>
      <c r="K268" s="3">
        <v>28.8</v>
      </c>
      <c r="L268">
        <v>15</v>
      </c>
      <c r="M268" s="2">
        <v>146.88</v>
      </c>
      <c r="N268" s="2">
        <v>112.92</v>
      </c>
      <c r="O268" s="2">
        <v>33.96</v>
      </c>
      <c r="P268" s="1">
        <f>(Sales_Data[[#This Row],[Profit]]/Sales_Data[[#This Row],[Revenue]])</f>
        <v>0.2312091503267974</v>
      </c>
    </row>
    <row r="269" spans="1:16" x14ac:dyDescent="0.35">
      <c r="A269" t="s">
        <v>1128</v>
      </c>
      <c r="B269" s="5" t="s">
        <v>648</v>
      </c>
      <c r="C269" s="5" t="s">
        <v>350</v>
      </c>
      <c r="D269" s="5" t="str">
        <f>"Q"&amp;ROUNDUP(MONTH(B269)/3,0)</f>
        <v>Q4</v>
      </c>
      <c r="E269" t="s">
        <v>23</v>
      </c>
      <c r="F269" t="s">
        <v>63</v>
      </c>
      <c r="G269" t="s">
        <v>309</v>
      </c>
      <c r="H269" t="s">
        <v>78</v>
      </c>
      <c r="I269" t="s">
        <v>19</v>
      </c>
      <c r="J269" s="4">
        <v>4</v>
      </c>
      <c r="K269" s="3">
        <v>108.25</v>
      </c>
      <c r="L269">
        <v>15</v>
      </c>
      <c r="M269" s="2">
        <v>368.05</v>
      </c>
      <c r="N269" s="2">
        <v>257.33</v>
      </c>
      <c r="O269" s="2">
        <v>110.72</v>
      </c>
      <c r="P269" s="1">
        <f>(Sales_Data[[#This Row],[Profit]]/Sales_Data[[#This Row],[Revenue]])</f>
        <v>0.30082869175383781</v>
      </c>
    </row>
    <row r="270" spans="1:16" x14ac:dyDescent="0.35">
      <c r="A270" t="s">
        <v>1127</v>
      </c>
      <c r="B270" s="5" t="s">
        <v>1126</v>
      </c>
      <c r="C270" s="5" t="s">
        <v>350</v>
      </c>
      <c r="D270" s="5" t="str">
        <f>"Q"&amp;ROUNDUP(MONTH(B270)/3,0)</f>
        <v>Q4</v>
      </c>
      <c r="E270" t="s">
        <v>4</v>
      </c>
      <c r="F270" t="s">
        <v>22</v>
      </c>
      <c r="G270" t="s">
        <v>79</v>
      </c>
      <c r="H270" t="s">
        <v>59</v>
      </c>
      <c r="I270" t="s">
        <v>0</v>
      </c>
      <c r="J270" s="4">
        <v>3</v>
      </c>
      <c r="K270" s="3">
        <v>1401.94</v>
      </c>
      <c r="L270">
        <v>15</v>
      </c>
      <c r="M270" s="2">
        <v>3574.95</v>
      </c>
      <c r="N270" s="2">
        <v>2116.2600000000002</v>
      </c>
      <c r="O270" s="2">
        <v>1458.69</v>
      </c>
      <c r="P270" s="1">
        <f>(Sales_Data[[#This Row],[Profit]]/Sales_Data[[#This Row],[Revenue]])</f>
        <v>0.40803088155079098</v>
      </c>
    </row>
    <row r="271" spans="1:16" x14ac:dyDescent="0.35">
      <c r="A271" t="s">
        <v>1125</v>
      </c>
      <c r="B271" s="5" t="s">
        <v>642</v>
      </c>
      <c r="C271" s="5" t="s">
        <v>310</v>
      </c>
      <c r="D271" s="5" t="str">
        <f>"Q"&amp;ROUNDUP(MONTH(B271)/3,0)</f>
        <v>Q1</v>
      </c>
      <c r="E271" t="s">
        <v>23</v>
      </c>
      <c r="F271" t="s">
        <v>11</v>
      </c>
      <c r="G271" t="s">
        <v>92</v>
      </c>
      <c r="H271" t="s">
        <v>45</v>
      </c>
      <c r="I271" t="s">
        <v>8</v>
      </c>
      <c r="J271" s="4">
        <v>6</v>
      </c>
      <c r="K271" s="3">
        <v>949.22</v>
      </c>
      <c r="L271">
        <v>15</v>
      </c>
      <c r="M271" s="2">
        <v>4841.0200000000004</v>
      </c>
      <c r="N271" s="2">
        <v>2868.26</v>
      </c>
      <c r="O271" s="2">
        <v>1972.76</v>
      </c>
      <c r="P271" s="1">
        <f>(Sales_Data[[#This Row],[Profit]]/Sales_Data[[#This Row],[Revenue]])</f>
        <v>0.40750916129245485</v>
      </c>
    </row>
    <row r="272" spans="1:16" x14ac:dyDescent="0.35">
      <c r="A272" t="s">
        <v>1124</v>
      </c>
      <c r="B272" s="5" t="s">
        <v>1123</v>
      </c>
      <c r="C272" s="5" t="s">
        <v>310</v>
      </c>
      <c r="D272" s="5" t="str">
        <f>"Q"&amp;ROUNDUP(MONTH(B272)/3,0)</f>
        <v>Q1</v>
      </c>
      <c r="E272" t="s">
        <v>23</v>
      </c>
      <c r="F272" t="s">
        <v>22</v>
      </c>
      <c r="G272" t="s">
        <v>21</v>
      </c>
      <c r="H272" t="s">
        <v>45</v>
      </c>
      <c r="I272" t="s">
        <v>8</v>
      </c>
      <c r="J272" s="4">
        <v>7</v>
      </c>
      <c r="K272" s="3">
        <v>915.74</v>
      </c>
      <c r="L272">
        <v>15</v>
      </c>
      <c r="M272" s="2">
        <v>5448.65</v>
      </c>
      <c r="N272" s="2">
        <v>4372.33</v>
      </c>
      <c r="O272" s="2">
        <v>1076.32</v>
      </c>
      <c r="P272" s="1">
        <f>(Sales_Data[[#This Row],[Profit]]/Sales_Data[[#This Row],[Revenue]])</f>
        <v>0.19753883989612106</v>
      </c>
    </row>
    <row r="273" spans="1:16" x14ac:dyDescent="0.35">
      <c r="A273" t="s">
        <v>1122</v>
      </c>
      <c r="B273" s="5" t="s">
        <v>638</v>
      </c>
      <c r="C273" s="5" t="s">
        <v>310</v>
      </c>
      <c r="D273" s="5" t="str">
        <f>"Q"&amp;ROUNDUP(MONTH(B273)/3,0)</f>
        <v>Q1</v>
      </c>
      <c r="E273" t="s">
        <v>36</v>
      </c>
      <c r="F273" t="s">
        <v>11</v>
      </c>
      <c r="G273" t="s">
        <v>85</v>
      </c>
      <c r="H273" t="s">
        <v>9</v>
      </c>
      <c r="I273" t="s">
        <v>8</v>
      </c>
      <c r="J273" s="4">
        <v>4</v>
      </c>
      <c r="K273" s="3">
        <v>58529.81</v>
      </c>
      <c r="L273">
        <v>15</v>
      </c>
      <c r="M273" s="2">
        <v>199001.35</v>
      </c>
      <c r="N273" s="2">
        <v>157311.43</v>
      </c>
      <c r="O273" s="2">
        <v>41689.919999999998</v>
      </c>
      <c r="P273" s="1">
        <f>(Sales_Data[[#This Row],[Profit]]/Sales_Data[[#This Row],[Revenue]])</f>
        <v>0.20949566422539342</v>
      </c>
    </row>
    <row r="274" spans="1:16" x14ac:dyDescent="0.35">
      <c r="A274" t="s">
        <v>1121</v>
      </c>
      <c r="B274" s="5" t="s">
        <v>319</v>
      </c>
      <c r="C274" s="5" t="s">
        <v>310</v>
      </c>
      <c r="D274" s="5" t="str">
        <f>"Q"&amp;ROUNDUP(MONTH(B274)/3,0)</f>
        <v>Q1</v>
      </c>
      <c r="E274" t="s">
        <v>16</v>
      </c>
      <c r="F274" t="s">
        <v>3</v>
      </c>
      <c r="G274" t="s">
        <v>118</v>
      </c>
      <c r="H274" t="s">
        <v>78</v>
      </c>
      <c r="I274" t="s">
        <v>19</v>
      </c>
      <c r="J274" s="4">
        <v>6</v>
      </c>
      <c r="K274" s="3">
        <v>116.11</v>
      </c>
      <c r="L274">
        <v>15</v>
      </c>
      <c r="M274" s="2">
        <v>592.16</v>
      </c>
      <c r="N274" s="2">
        <v>496.71</v>
      </c>
      <c r="O274" s="2">
        <v>95.45</v>
      </c>
      <c r="P274" s="1">
        <f>(Sales_Data[[#This Row],[Profit]]/Sales_Data[[#This Row],[Revenue]])</f>
        <v>0.16118954336665767</v>
      </c>
    </row>
    <row r="275" spans="1:16" x14ac:dyDescent="0.35">
      <c r="A275" t="s">
        <v>1120</v>
      </c>
      <c r="B275" s="5" t="s">
        <v>327</v>
      </c>
      <c r="C275" s="5" t="s">
        <v>310</v>
      </c>
      <c r="D275" s="5" t="str">
        <f>"Q"&amp;ROUNDUP(MONTH(B275)/3,0)</f>
        <v>Q1</v>
      </c>
      <c r="E275" t="s">
        <v>16</v>
      </c>
      <c r="F275" t="s">
        <v>63</v>
      </c>
      <c r="G275" t="s">
        <v>51</v>
      </c>
      <c r="H275" t="s">
        <v>1</v>
      </c>
      <c r="I275" t="s">
        <v>0</v>
      </c>
      <c r="J275" s="4">
        <v>8</v>
      </c>
      <c r="K275" s="3">
        <v>518.4</v>
      </c>
      <c r="L275">
        <v>15</v>
      </c>
      <c r="M275" s="2">
        <v>3525.12</v>
      </c>
      <c r="N275" s="2">
        <v>1969.92</v>
      </c>
      <c r="O275" s="2">
        <v>1555.2</v>
      </c>
      <c r="P275" s="1">
        <f>(Sales_Data[[#This Row],[Profit]]/Sales_Data[[#This Row],[Revenue]])</f>
        <v>0.44117647058823534</v>
      </c>
    </row>
    <row r="276" spans="1:16" x14ac:dyDescent="0.35">
      <c r="A276" t="s">
        <v>1119</v>
      </c>
      <c r="B276" s="5" t="s">
        <v>627</v>
      </c>
      <c r="C276" s="5" t="s">
        <v>310</v>
      </c>
      <c r="D276" s="5" t="str">
        <f>"Q"&amp;ROUNDUP(MONTH(B276)/3,0)</f>
        <v>Q1</v>
      </c>
      <c r="E276" t="s">
        <v>23</v>
      </c>
      <c r="F276" t="s">
        <v>22</v>
      </c>
      <c r="G276" t="s">
        <v>174</v>
      </c>
      <c r="H276" t="s">
        <v>59</v>
      </c>
      <c r="I276" t="s">
        <v>0</v>
      </c>
      <c r="J276" s="4">
        <v>7</v>
      </c>
      <c r="K276" s="3">
        <v>1474.79</v>
      </c>
      <c r="L276">
        <v>15</v>
      </c>
      <c r="M276" s="2">
        <v>8775</v>
      </c>
      <c r="N276" s="2">
        <v>5505.08</v>
      </c>
      <c r="O276" s="2">
        <v>3269.92</v>
      </c>
      <c r="P276" s="1">
        <f>(Sales_Data[[#This Row],[Profit]]/Sales_Data[[#This Row],[Revenue]])</f>
        <v>0.37264045584045585</v>
      </c>
    </row>
    <row r="277" spans="1:16" x14ac:dyDescent="0.35">
      <c r="A277" t="s">
        <v>1118</v>
      </c>
      <c r="B277" s="5" t="s">
        <v>340</v>
      </c>
      <c r="C277" s="5" t="s">
        <v>310</v>
      </c>
      <c r="D277" s="5" t="str">
        <f>"Q"&amp;ROUNDUP(MONTH(B277)/3,0)</f>
        <v>Q1</v>
      </c>
      <c r="E277" t="s">
        <v>4</v>
      </c>
      <c r="F277" t="s">
        <v>11</v>
      </c>
      <c r="G277" t="s">
        <v>214</v>
      </c>
      <c r="H277" t="s">
        <v>1</v>
      </c>
      <c r="I277" t="s">
        <v>0</v>
      </c>
      <c r="J277" s="4">
        <v>4</v>
      </c>
      <c r="K277" s="3">
        <v>502.29</v>
      </c>
      <c r="L277">
        <v>15</v>
      </c>
      <c r="M277" s="2">
        <v>1707.79</v>
      </c>
      <c r="N277" s="2">
        <v>1161.06</v>
      </c>
      <c r="O277" s="2">
        <v>546.73</v>
      </c>
      <c r="P277" s="1">
        <f>(Sales_Data[[#This Row],[Profit]]/Sales_Data[[#This Row],[Revenue]])</f>
        <v>0.32013889295522285</v>
      </c>
    </row>
    <row r="278" spans="1:16" x14ac:dyDescent="0.35">
      <c r="A278" t="s">
        <v>1117</v>
      </c>
      <c r="B278" s="5" t="s">
        <v>311</v>
      </c>
      <c r="C278" s="5" t="s">
        <v>310</v>
      </c>
      <c r="D278" s="5" t="str">
        <f>"Q"&amp;ROUNDUP(MONTH(B278)/3,0)</f>
        <v>Q1</v>
      </c>
      <c r="E278" t="s">
        <v>23</v>
      </c>
      <c r="F278" t="s">
        <v>3</v>
      </c>
      <c r="G278" t="s">
        <v>294</v>
      </c>
      <c r="H278" t="s">
        <v>45</v>
      </c>
      <c r="I278" t="s">
        <v>8</v>
      </c>
      <c r="J278" s="4">
        <v>6</v>
      </c>
      <c r="K278" s="3">
        <v>864.1</v>
      </c>
      <c r="L278">
        <v>15</v>
      </c>
      <c r="M278" s="2">
        <v>4406.91</v>
      </c>
      <c r="N278" s="2">
        <v>2751.64</v>
      </c>
      <c r="O278" s="2">
        <v>1655.27</v>
      </c>
      <c r="P278" s="1">
        <f>(Sales_Data[[#This Row],[Profit]]/Sales_Data[[#This Row],[Revenue]])</f>
        <v>0.37560785221390952</v>
      </c>
    </row>
    <row r="279" spans="1:16" x14ac:dyDescent="0.35">
      <c r="A279" t="s">
        <v>1116</v>
      </c>
      <c r="B279" s="5" t="s">
        <v>324</v>
      </c>
      <c r="C279" s="5" t="s">
        <v>310</v>
      </c>
      <c r="D279" s="5" t="str">
        <f>"Q"&amp;ROUNDUP(MONTH(B279)/3,0)</f>
        <v>Q1</v>
      </c>
      <c r="E279" t="s">
        <v>36</v>
      </c>
      <c r="F279" t="s">
        <v>11</v>
      </c>
      <c r="G279" t="s">
        <v>142</v>
      </c>
      <c r="H279" t="s">
        <v>9</v>
      </c>
      <c r="I279" t="s">
        <v>8</v>
      </c>
      <c r="J279" s="4">
        <v>6</v>
      </c>
      <c r="K279" s="3">
        <v>57119.15</v>
      </c>
      <c r="L279">
        <v>15</v>
      </c>
      <c r="M279" s="2">
        <v>291307.67</v>
      </c>
      <c r="N279" s="2">
        <v>242645.06</v>
      </c>
      <c r="O279" s="2">
        <v>48662.61</v>
      </c>
      <c r="P279" s="1">
        <f>(Sales_Data[[#This Row],[Profit]]/Sales_Data[[#This Row],[Revenue]])</f>
        <v>0.16704884564144845</v>
      </c>
    </row>
    <row r="280" spans="1:16" x14ac:dyDescent="0.35">
      <c r="A280" t="s">
        <v>1115</v>
      </c>
      <c r="B280" s="5" t="s">
        <v>329</v>
      </c>
      <c r="C280" s="5" t="s">
        <v>310</v>
      </c>
      <c r="D280" s="5" t="str">
        <f>"Q"&amp;ROUNDUP(MONTH(B280)/3,0)</f>
        <v>Q1</v>
      </c>
      <c r="E280" t="s">
        <v>23</v>
      </c>
      <c r="F280" t="s">
        <v>52</v>
      </c>
      <c r="G280" t="s">
        <v>231</v>
      </c>
      <c r="H280" t="s">
        <v>1</v>
      </c>
      <c r="I280" t="s">
        <v>0</v>
      </c>
      <c r="J280" s="4">
        <v>4</v>
      </c>
      <c r="K280" s="3">
        <v>508.23</v>
      </c>
      <c r="L280">
        <v>15</v>
      </c>
      <c r="M280" s="2">
        <v>1727.98</v>
      </c>
      <c r="N280" s="2">
        <v>983.53</v>
      </c>
      <c r="O280" s="2">
        <v>744.45</v>
      </c>
      <c r="P280" s="1">
        <f>(Sales_Data[[#This Row],[Profit]]/Sales_Data[[#This Row],[Revenue]])</f>
        <v>0.43082095857590946</v>
      </c>
    </row>
    <row r="281" spans="1:16" x14ac:dyDescent="0.35">
      <c r="A281" t="s">
        <v>1114</v>
      </c>
      <c r="B281" s="5" t="s">
        <v>315</v>
      </c>
      <c r="C281" s="5" t="s">
        <v>310</v>
      </c>
      <c r="D281" s="5" t="str">
        <f>"Q"&amp;ROUNDUP(MONTH(B281)/3,0)</f>
        <v>Q1</v>
      </c>
      <c r="E281" t="s">
        <v>16</v>
      </c>
      <c r="F281" t="s">
        <v>56</v>
      </c>
      <c r="G281" t="s">
        <v>2</v>
      </c>
      <c r="H281" t="s">
        <v>78</v>
      </c>
      <c r="I281" t="s">
        <v>19</v>
      </c>
      <c r="J281" s="4">
        <v>6</v>
      </c>
      <c r="K281" s="3">
        <v>108.11</v>
      </c>
      <c r="L281">
        <v>15</v>
      </c>
      <c r="M281" s="2">
        <v>551.36</v>
      </c>
      <c r="N281" s="2">
        <v>383.1</v>
      </c>
      <c r="O281" s="2">
        <v>168.26</v>
      </c>
      <c r="P281" s="1">
        <f>(Sales_Data[[#This Row],[Profit]]/Sales_Data[[#This Row],[Revenue]])</f>
        <v>0.30517266395821241</v>
      </c>
    </row>
    <row r="282" spans="1:16" x14ac:dyDescent="0.35">
      <c r="A282" t="s">
        <v>1113</v>
      </c>
      <c r="B282" s="5" t="s">
        <v>1112</v>
      </c>
      <c r="C282" s="5" t="s">
        <v>310</v>
      </c>
      <c r="D282" s="5" t="str">
        <f>"Q"&amp;ROUNDUP(MONTH(B282)/3,0)</f>
        <v>Q1</v>
      </c>
      <c r="E282" t="s">
        <v>23</v>
      </c>
      <c r="F282" t="s">
        <v>11</v>
      </c>
      <c r="G282" t="s">
        <v>112</v>
      </c>
      <c r="H282" t="s">
        <v>20</v>
      </c>
      <c r="I282" t="s">
        <v>19</v>
      </c>
      <c r="J282" s="4">
        <v>3</v>
      </c>
      <c r="K282" s="3">
        <v>28.66</v>
      </c>
      <c r="L282">
        <v>15</v>
      </c>
      <c r="M282" s="2">
        <v>73.08</v>
      </c>
      <c r="N282" s="2">
        <v>44.58</v>
      </c>
      <c r="O282" s="2">
        <v>28.5</v>
      </c>
      <c r="P282" s="1">
        <f>(Sales_Data[[#This Row],[Profit]]/Sales_Data[[#This Row],[Revenue]])</f>
        <v>0.38998357963875208</v>
      </c>
    </row>
    <row r="283" spans="1:16" x14ac:dyDescent="0.35">
      <c r="A283" t="s">
        <v>1111</v>
      </c>
      <c r="B283" s="5" t="s">
        <v>873</v>
      </c>
      <c r="C283" s="5" t="s">
        <v>275</v>
      </c>
      <c r="D283" s="5" t="str">
        <f>"Q"&amp;ROUNDUP(MONTH(B283)/3,0)</f>
        <v>Q1</v>
      </c>
      <c r="E283" t="s">
        <v>4</v>
      </c>
      <c r="F283" t="s">
        <v>52</v>
      </c>
      <c r="G283" t="s">
        <v>220</v>
      </c>
      <c r="H283" t="s">
        <v>59</v>
      </c>
      <c r="I283" t="s">
        <v>0</v>
      </c>
      <c r="J283" s="4">
        <v>1</v>
      </c>
      <c r="K283" s="3">
        <v>1592.78</v>
      </c>
      <c r="L283">
        <v>15</v>
      </c>
      <c r="M283" s="2">
        <v>1353.86</v>
      </c>
      <c r="N283" s="2">
        <v>1064.3599999999999</v>
      </c>
      <c r="O283" s="2">
        <v>289.5</v>
      </c>
      <c r="P283" s="1">
        <f>(Sales_Data[[#This Row],[Profit]]/Sales_Data[[#This Row],[Revenue]])</f>
        <v>0.2138330403439056</v>
      </c>
    </row>
    <row r="284" spans="1:16" x14ac:dyDescent="0.35">
      <c r="A284" t="s">
        <v>1110</v>
      </c>
      <c r="B284" s="5" t="s">
        <v>297</v>
      </c>
      <c r="C284" s="5" t="s">
        <v>275</v>
      </c>
      <c r="D284" s="5" t="str">
        <f>"Q"&amp;ROUNDUP(MONTH(B284)/3,0)</f>
        <v>Q1</v>
      </c>
      <c r="E284" t="s">
        <v>4</v>
      </c>
      <c r="F284" t="s">
        <v>52</v>
      </c>
      <c r="G284" t="s">
        <v>150</v>
      </c>
      <c r="H284" t="s">
        <v>78</v>
      </c>
      <c r="I284" t="s">
        <v>19</v>
      </c>
      <c r="J284" s="4">
        <v>1</v>
      </c>
      <c r="K284" s="3">
        <v>131.88</v>
      </c>
      <c r="L284">
        <v>15</v>
      </c>
      <c r="M284" s="2">
        <v>112.1</v>
      </c>
      <c r="N284" s="2">
        <v>74.510000000000005</v>
      </c>
      <c r="O284" s="2">
        <v>37.590000000000003</v>
      </c>
      <c r="P284" s="1">
        <f>(Sales_Data[[#This Row],[Profit]]/Sales_Data[[#This Row],[Revenue]])</f>
        <v>0.33532560214094564</v>
      </c>
    </row>
    <row r="285" spans="1:16" x14ac:dyDescent="0.35">
      <c r="A285" t="s">
        <v>1109</v>
      </c>
      <c r="B285" s="5" t="s">
        <v>297</v>
      </c>
      <c r="C285" s="5" t="s">
        <v>275</v>
      </c>
      <c r="D285" s="5" t="str">
        <f>"Q"&amp;ROUNDUP(MONTH(B285)/3,0)</f>
        <v>Q1</v>
      </c>
      <c r="E285" t="s">
        <v>16</v>
      </c>
      <c r="F285" t="s">
        <v>3</v>
      </c>
      <c r="G285" t="s">
        <v>116</v>
      </c>
      <c r="H285" t="s">
        <v>78</v>
      </c>
      <c r="I285" t="s">
        <v>19</v>
      </c>
      <c r="J285" s="4">
        <v>5</v>
      </c>
      <c r="K285" s="3">
        <v>130.36000000000001</v>
      </c>
      <c r="L285">
        <v>15</v>
      </c>
      <c r="M285" s="2">
        <v>554.03</v>
      </c>
      <c r="N285" s="2">
        <v>431.92</v>
      </c>
      <c r="O285" s="2">
        <v>122.11</v>
      </c>
      <c r="P285" s="1">
        <f>(Sales_Data[[#This Row],[Profit]]/Sales_Data[[#This Row],[Revenue]])</f>
        <v>0.22040322726206163</v>
      </c>
    </row>
    <row r="286" spans="1:16" x14ac:dyDescent="0.35">
      <c r="A286" t="s">
        <v>1108</v>
      </c>
      <c r="B286" s="5" t="s">
        <v>295</v>
      </c>
      <c r="C286" s="5" t="s">
        <v>275</v>
      </c>
      <c r="D286" s="5" t="str">
        <f>"Q"&amp;ROUNDUP(MONTH(B286)/3,0)</f>
        <v>Q1</v>
      </c>
      <c r="E286" t="s">
        <v>23</v>
      </c>
      <c r="F286" t="s">
        <v>52</v>
      </c>
      <c r="G286" t="s">
        <v>137</v>
      </c>
      <c r="H286" t="s">
        <v>9</v>
      </c>
      <c r="I286" t="s">
        <v>8</v>
      </c>
      <c r="J286" s="4">
        <v>8</v>
      </c>
      <c r="K286" s="3">
        <v>60317.48</v>
      </c>
      <c r="L286">
        <v>15</v>
      </c>
      <c r="M286" s="2">
        <v>410158.86</v>
      </c>
      <c r="N286" s="2">
        <v>300628.03999999998</v>
      </c>
      <c r="O286" s="2">
        <v>109530.82</v>
      </c>
      <c r="P286" s="1">
        <f>(Sales_Data[[#This Row],[Profit]]/Sales_Data[[#This Row],[Revenue]])</f>
        <v>0.26704487134570254</v>
      </c>
    </row>
    <row r="287" spans="1:16" x14ac:dyDescent="0.35">
      <c r="A287" t="s">
        <v>1107</v>
      </c>
      <c r="B287" s="5" t="s">
        <v>607</v>
      </c>
      <c r="C287" s="5" t="s">
        <v>275</v>
      </c>
      <c r="D287" s="5" t="str">
        <f>"Q"&amp;ROUNDUP(MONTH(B287)/3,0)</f>
        <v>Q1</v>
      </c>
      <c r="E287" t="s">
        <v>4</v>
      </c>
      <c r="F287" t="s">
        <v>56</v>
      </c>
      <c r="G287" t="s">
        <v>10</v>
      </c>
      <c r="H287" t="s">
        <v>50</v>
      </c>
      <c r="I287" t="s">
        <v>49</v>
      </c>
      <c r="J287" s="4">
        <v>1</v>
      </c>
      <c r="K287" s="3">
        <v>4152.83</v>
      </c>
      <c r="L287">
        <v>15</v>
      </c>
      <c r="M287" s="2">
        <v>3529.91</v>
      </c>
      <c r="N287" s="2">
        <v>2528.12</v>
      </c>
      <c r="O287" s="2">
        <v>1001.79</v>
      </c>
      <c r="P287" s="1">
        <f>(Sales_Data[[#This Row],[Profit]]/Sales_Data[[#This Row],[Revenue]])</f>
        <v>0.283800436838333</v>
      </c>
    </row>
    <row r="288" spans="1:16" x14ac:dyDescent="0.35">
      <c r="A288" t="s">
        <v>1106</v>
      </c>
      <c r="B288" s="5" t="s">
        <v>1105</v>
      </c>
      <c r="C288" s="5" t="s">
        <v>275</v>
      </c>
      <c r="D288" s="5" t="str">
        <f>"Q"&amp;ROUNDUP(MONTH(B288)/3,0)</f>
        <v>Q1</v>
      </c>
      <c r="E288" t="s">
        <v>16</v>
      </c>
      <c r="F288" t="s">
        <v>56</v>
      </c>
      <c r="G288" t="s">
        <v>26</v>
      </c>
      <c r="H288" t="s">
        <v>111</v>
      </c>
      <c r="I288" t="s">
        <v>49</v>
      </c>
      <c r="J288" s="4">
        <v>4</v>
      </c>
      <c r="K288" s="3">
        <v>7792.77</v>
      </c>
      <c r="L288">
        <v>15</v>
      </c>
      <c r="M288" s="2">
        <v>26495.42</v>
      </c>
      <c r="N288" s="2">
        <v>19035.830000000002</v>
      </c>
      <c r="O288" s="2">
        <v>7459.59</v>
      </c>
      <c r="P288" s="1">
        <f>(Sales_Data[[#This Row],[Profit]]/Sales_Data[[#This Row],[Revenue]])</f>
        <v>0.28154262132851643</v>
      </c>
    </row>
    <row r="289" spans="1:16" x14ac:dyDescent="0.35">
      <c r="A289" t="s">
        <v>1104</v>
      </c>
      <c r="B289" s="5" t="s">
        <v>288</v>
      </c>
      <c r="C289" s="5" t="s">
        <v>275</v>
      </c>
      <c r="D289" s="5" t="str">
        <f>"Q"&amp;ROUNDUP(MONTH(B289)/3,0)</f>
        <v>Q1</v>
      </c>
      <c r="E289" t="s">
        <v>4</v>
      </c>
      <c r="F289" t="s">
        <v>52</v>
      </c>
      <c r="G289" t="s">
        <v>264</v>
      </c>
      <c r="H289" t="s">
        <v>14</v>
      </c>
      <c r="I289" t="s">
        <v>8</v>
      </c>
      <c r="J289" s="4">
        <v>5</v>
      </c>
      <c r="K289" s="3">
        <v>2409.12</v>
      </c>
      <c r="L289">
        <v>15</v>
      </c>
      <c r="M289" s="2">
        <v>10238.76</v>
      </c>
      <c r="N289" s="2">
        <v>6793.71</v>
      </c>
      <c r="O289" s="2">
        <v>3445.05</v>
      </c>
      <c r="P289" s="1">
        <f>(Sales_Data[[#This Row],[Profit]]/Sales_Data[[#This Row],[Revenue]])</f>
        <v>0.33647140864714087</v>
      </c>
    </row>
    <row r="290" spans="1:16" x14ac:dyDescent="0.35">
      <c r="A290" t="s">
        <v>1103</v>
      </c>
      <c r="B290" s="5" t="s">
        <v>284</v>
      </c>
      <c r="C290" s="5" t="s">
        <v>275</v>
      </c>
      <c r="D290" s="5" t="str">
        <f>"Q"&amp;ROUNDUP(MONTH(B290)/3,0)</f>
        <v>Q1</v>
      </c>
      <c r="E290" t="s">
        <v>36</v>
      </c>
      <c r="F290" t="s">
        <v>52</v>
      </c>
      <c r="G290" t="s">
        <v>10</v>
      </c>
      <c r="H290" t="s">
        <v>34</v>
      </c>
      <c r="I290" t="s">
        <v>8</v>
      </c>
      <c r="J290" s="4">
        <v>2</v>
      </c>
      <c r="K290" s="3">
        <v>23241.42</v>
      </c>
      <c r="L290">
        <v>15</v>
      </c>
      <c r="M290" s="2">
        <v>39510.410000000003</v>
      </c>
      <c r="N290" s="2">
        <v>25473.279999999999</v>
      </c>
      <c r="O290" s="2">
        <v>14037.13</v>
      </c>
      <c r="P290" s="1">
        <f>(Sales_Data[[#This Row],[Profit]]/Sales_Data[[#This Row],[Revenue]])</f>
        <v>0.35527674858347452</v>
      </c>
    </row>
    <row r="291" spans="1:16" x14ac:dyDescent="0.35">
      <c r="A291" t="s">
        <v>1102</v>
      </c>
      <c r="B291" s="5" t="s">
        <v>1098</v>
      </c>
      <c r="C291" s="5" t="s">
        <v>275</v>
      </c>
      <c r="D291" s="5" t="str">
        <f>"Q"&amp;ROUNDUP(MONTH(B291)/3,0)</f>
        <v>Q1</v>
      </c>
      <c r="E291" t="s">
        <v>16</v>
      </c>
      <c r="F291" t="s">
        <v>3</v>
      </c>
      <c r="G291" t="s">
        <v>191</v>
      </c>
      <c r="H291" t="s">
        <v>1</v>
      </c>
      <c r="I291" t="s">
        <v>0</v>
      </c>
      <c r="J291" s="4">
        <v>3</v>
      </c>
      <c r="K291" s="3">
        <v>464.64</v>
      </c>
      <c r="L291">
        <v>15</v>
      </c>
      <c r="M291" s="2">
        <v>1184.83</v>
      </c>
      <c r="N291" s="2">
        <v>845.2</v>
      </c>
      <c r="O291" s="2">
        <v>339.63</v>
      </c>
      <c r="P291" s="1">
        <f>(Sales_Data[[#This Row],[Profit]]/Sales_Data[[#This Row],[Revenue]])</f>
        <v>0.28664871753753707</v>
      </c>
    </row>
    <row r="292" spans="1:16" x14ac:dyDescent="0.35">
      <c r="A292" t="s">
        <v>1101</v>
      </c>
      <c r="B292" s="5" t="s">
        <v>885</v>
      </c>
      <c r="C292" s="5" t="s">
        <v>275</v>
      </c>
      <c r="D292" s="5" t="str">
        <f>"Q"&amp;ROUNDUP(MONTH(B292)/3,0)</f>
        <v>Q1</v>
      </c>
      <c r="E292" t="s">
        <v>4</v>
      </c>
      <c r="F292" t="s">
        <v>52</v>
      </c>
      <c r="G292" t="s">
        <v>169</v>
      </c>
      <c r="H292" t="s">
        <v>45</v>
      </c>
      <c r="I292" t="s">
        <v>8</v>
      </c>
      <c r="J292" s="4">
        <v>3</v>
      </c>
      <c r="K292" s="3">
        <v>938.49</v>
      </c>
      <c r="L292">
        <v>15</v>
      </c>
      <c r="M292" s="2">
        <v>2393.15</v>
      </c>
      <c r="N292" s="2">
        <v>1469.84</v>
      </c>
      <c r="O292" s="2">
        <v>923.31</v>
      </c>
      <c r="P292" s="1">
        <f>(Sales_Data[[#This Row],[Profit]]/Sales_Data[[#This Row],[Revenue]])</f>
        <v>0.38581367653511062</v>
      </c>
    </row>
    <row r="293" spans="1:16" x14ac:dyDescent="0.35">
      <c r="A293" t="s">
        <v>1100</v>
      </c>
      <c r="B293" s="5" t="s">
        <v>302</v>
      </c>
      <c r="C293" s="5" t="s">
        <v>275</v>
      </c>
      <c r="D293" s="5" t="str">
        <f>"Q"&amp;ROUNDUP(MONTH(B293)/3,0)</f>
        <v>Q1</v>
      </c>
      <c r="E293" t="s">
        <v>36</v>
      </c>
      <c r="F293" t="s">
        <v>52</v>
      </c>
      <c r="G293" t="s">
        <v>294</v>
      </c>
      <c r="H293" t="s">
        <v>59</v>
      </c>
      <c r="I293" t="s">
        <v>0</v>
      </c>
      <c r="J293" s="4">
        <v>5</v>
      </c>
      <c r="K293" s="3">
        <v>1447.67</v>
      </c>
      <c r="L293">
        <v>15</v>
      </c>
      <c r="M293" s="2">
        <v>6152.6</v>
      </c>
      <c r="N293" s="2">
        <v>4762.47</v>
      </c>
      <c r="O293" s="2">
        <v>1390.13</v>
      </c>
      <c r="P293" s="1">
        <f>(Sales_Data[[#This Row],[Profit]]/Sales_Data[[#This Row],[Revenue]])</f>
        <v>0.22594187823034165</v>
      </c>
    </row>
    <row r="294" spans="1:16" x14ac:dyDescent="0.35">
      <c r="A294" t="s">
        <v>1099</v>
      </c>
      <c r="B294" s="5" t="s">
        <v>1098</v>
      </c>
      <c r="C294" s="5" t="s">
        <v>275</v>
      </c>
      <c r="D294" s="5" t="str">
        <f>"Q"&amp;ROUNDUP(MONTH(B294)/3,0)</f>
        <v>Q1</v>
      </c>
      <c r="E294" t="s">
        <v>36</v>
      </c>
      <c r="F294" t="s">
        <v>63</v>
      </c>
      <c r="G294" t="s">
        <v>112</v>
      </c>
      <c r="H294" t="s">
        <v>1</v>
      </c>
      <c r="I294" t="s">
        <v>0</v>
      </c>
      <c r="J294" s="4">
        <v>2</v>
      </c>
      <c r="K294" s="3">
        <v>544.36</v>
      </c>
      <c r="L294">
        <v>15</v>
      </c>
      <c r="M294" s="2">
        <v>925.41</v>
      </c>
      <c r="N294" s="2">
        <v>709.7</v>
      </c>
      <c r="O294" s="2">
        <v>215.71</v>
      </c>
      <c r="P294" s="1">
        <f>(Sales_Data[[#This Row],[Profit]]/Sales_Data[[#This Row],[Revenue]])</f>
        <v>0.23309668147091561</v>
      </c>
    </row>
    <row r="295" spans="1:16" x14ac:dyDescent="0.35">
      <c r="A295" t="s">
        <v>1097</v>
      </c>
      <c r="B295" s="5" t="s">
        <v>877</v>
      </c>
      <c r="C295" s="5" t="s">
        <v>275</v>
      </c>
      <c r="D295" s="5" t="str">
        <f>"Q"&amp;ROUNDUP(MONTH(B295)/3,0)</f>
        <v>Q1</v>
      </c>
      <c r="E295" t="s">
        <v>16</v>
      </c>
      <c r="F295" t="s">
        <v>63</v>
      </c>
      <c r="G295" t="s">
        <v>166</v>
      </c>
      <c r="H295" t="s">
        <v>20</v>
      </c>
      <c r="I295" t="s">
        <v>19</v>
      </c>
      <c r="J295" s="4">
        <v>5</v>
      </c>
      <c r="K295" s="3">
        <v>27.65</v>
      </c>
      <c r="L295">
        <v>15</v>
      </c>
      <c r="M295" s="2">
        <v>117.51</v>
      </c>
      <c r="N295" s="2">
        <v>73.209999999999994</v>
      </c>
      <c r="O295" s="2">
        <v>44.3</v>
      </c>
      <c r="P295" s="1">
        <f>(Sales_Data[[#This Row],[Profit]]/Sales_Data[[#This Row],[Revenue]])</f>
        <v>0.37698919240915663</v>
      </c>
    </row>
    <row r="296" spans="1:16" x14ac:dyDescent="0.35">
      <c r="A296" t="s">
        <v>1096</v>
      </c>
      <c r="B296" s="5" t="s">
        <v>278</v>
      </c>
      <c r="C296" s="5" t="s">
        <v>275</v>
      </c>
      <c r="D296" s="5" t="str">
        <f>"Q"&amp;ROUNDUP(MONTH(B296)/3,0)</f>
        <v>Q1</v>
      </c>
      <c r="E296" t="s">
        <v>4</v>
      </c>
      <c r="F296" t="s">
        <v>56</v>
      </c>
      <c r="G296" t="s">
        <v>85</v>
      </c>
      <c r="H296" t="s">
        <v>111</v>
      </c>
      <c r="I296" t="s">
        <v>49</v>
      </c>
      <c r="J296" s="4">
        <v>5</v>
      </c>
      <c r="K296" s="3">
        <v>8510.65</v>
      </c>
      <c r="L296">
        <v>15</v>
      </c>
      <c r="M296" s="2">
        <v>36170.26</v>
      </c>
      <c r="N296" s="2">
        <v>25269.73</v>
      </c>
      <c r="O296" s="2">
        <v>10900.53</v>
      </c>
      <c r="P296" s="1">
        <f>(Sales_Data[[#This Row],[Profit]]/Sales_Data[[#This Row],[Revenue]])</f>
        <v>0.30136720056753807</v>
      </c>
    </row>
    <row r="297" spans="1:16" x14ac:dyDescent="0.35">
      <c r="A297" t="s">
        <v>1095</v>
      </c>
      <c r="B297" s="5" t="s">
        <v>286</v>
      </c>
      <c r="C297" s="5" t="s">
        <v>275</v>
      </c>
      <c r="D297" s="5" t="str">
        <f>"Q"&amp;ROUNDUP(MONTH(B297)/3,0)</f>
        <v>Q1</v>
      </c>
      <c r="E297" t="s">
        <v>4</v>
      </c>
      <c r="F297" t="s">
        <v>52</v>
      </c>
      <c r="G297" t="s">
        <v>118</v>
      </c>
      <c r="H297" t="s">
        <v>111</v>
      </c>
      <c r="I297" t="s">
        <v>49</v>
      </c>
      <c r="J297" s="4">
        <v>4</v>
      </c>
      <c r="K297" s="3">
        <v>7467.45</v>
      </c>
      <c r="L297">
        <v>15</v>
      </c>
      <c r="M297" s="2">
        <v>25389.33</v>
      </c>
      <c r="N297" s="2">
        <v>16418.939999999999</v>
      </c>
      <c r="O297" s="2">
        <v>8970.39</v>
      </c>
      <c r="P297" s="1">
        <f>(Sales_Data[[#This Row],[Profit]]/Sales_Data[[#This Row],[Revenue]])</f>
        <v>0.35331338006950158</v>
      </c>
    </row>
    <row r="298" spans="1:16" x14ac:dyDescent="0.35">
      <c r="A298" t="s">
        <v>1094</v>
      </c>
      <c r="B298" s="5" t="s">
        <v>286</v>
      </c>
      <c r="C298" s="5" t="s">
        <v>275</v>
      </c>
      <c r="D298" s="5" t="str">
        <f>"Q"&amp;ROUNDUP(MONTH(B298)/3,0)</f>
        <v>Q1</v>
      </c>
      <c r="E298" t="s">
        <v>4</v>
      </c>
      <c r="F298" t="s">
        <v>52</v>
      </c>
      <c r="G298" t="s">
        <v>220</v>
      </c>
      <c r="H298" t="s">
        <v>1</v>
      </c>
      <c r="I298" t="s">
        <v>0</v>
      </c>
      <c r="J298" s="4">
        <v>1</v>
      </c>
      <c r="K298" s="3">
        <v>476.23</v>
      </c>
      <c r="L298">
        <v>15</v>
      </c>
      <c r="M298" s="2">
        <v>404.8</v>
      </c>
      <c r="N298" s="2">
        <v>225.71</v>
      </c>
      <c r="O298" s="2">
        <v>179.09</v>
      </c>
      <c r="P298" s="1">
        <f>(Sales_Data[[#This Row],[Profit]]/Sales_Data[[#This Row],[Revenue]])</f>
        <v>0.44241600790513835</v>
      </c>
    </row>
    <row r="299" spans="1:16" x14ac:dyDescent="0.35">
      <c r="A299" t="s">
        <v>1093</v>
      </c>
      <c r="B299" s="5" t="s">
        <v>278</v>
      </c>
      <c r="C299" s="5" t="s">
        <v>275</v>
      </c>
      <c r="D299" s="5" t="str">
        <f>"Q"&amp;ROUNDUP(MONTH(B299)/3,0)</f>
        <v>Q1</v>
      </c>
      <c r="E299" t="s">
        <v>36</v>
      </c>
      <c r="F299" t="s">
        <v>3</v>
      </c>
      <c r="G299" t="s">
        <v>15</v>
      </c>
      <c r="H299" t="s">
        <v>78</v>
      </c>
      <c r="I299" t="s">
        <v>19</v>
      </c>
      <c r="J299" s="4">
        <v>4</v>
      </c>
      <c r="K299" s="3">
        <v>129.52000000000001</v>
      </c>
      <c r="L299">
        <v>15</v>
      </c>
      <c r="M299" s="2">
        <v>440.37</v>
      </c>
      <c r="N299" s="2">
        <v>326.77</v>
      </c>
      <c r="O299" s="2">
        <v>113.6</v>
      </c>
      <c r="P299" s="1">
        <f>(Sales_Data[[#This Row],[Profit]]/Sales_Data[[#This Row],[Revenue]])</f>
        <v>0.25796489315802618</v>
      </c>
    </row>
    <row r="300" spans="1:16" x14ac:dyDescent="0.35">
      <c r="A300" t="s">
        <v>1092</v>
      </c>
      <c r="B300" s="5" t="s">
        <v>579</v>
      </c>
      <c r="C300" s="5" t="s">
        <v>235</v>
      </c>
      <c r="D300" s="5" t="str">
        <f>"Q"&amp;ROUNDUP(MONTH(B300)/3,0)</f>
        <v>Q3</v>
      </c>
      <c r="E300" t="s">
        <v>4</v>
      </c>
      <c r="F300" t="s">
        <v>11</v>
      </c>
      <c r="G300" t="s">
        <v>108</v>
      </c>
      <c r="H300" t="s">
        <v>50</v>
      </c>
      <c r="I300" t="s">
        <v>49</v>
      </c>
      <c r="J300" s="4">
        <v>6</v>
      </c>
      <c r="K300" s="3">
        <v>4461.7700000000004</v>
      </c>
      <c r="L300">
        <v>15</v>
      </c>
      <c r="M300" s="2">
        <v>22755.03</v>
      </c>
      <c r="N300" s="2">
        <v>19310.02</v>
      </c>
      <c r="O300" s="2">
        <v>3445.01</v>
      </c>
      <c r="P300" s="1">
        <f>(Sales_Data[[#This Row],[Profit]]/Sales_Data[[#This Row],[Revenue]])</f>
        <v>0.15139553760201593</v>
      </c>
    </row>
    <row r="301" spans="1:16" x14ac:dyDescent="0.35">
      <c r="A301" t="s">
        <v>1091</v>
      </c>
      <c r="B301" s="5" t="s">
        <v>591</v>
      </c>
      <c r="C301" s="5" t="s">
        <v>235</v>
      </c>
      <c r="D301" s="5" t="str">
        <f>"Q"&amp;ROUNDUP(MONTH(B301)/3,0)</f>
        <v>Q3</v>
      </c>
      <c r="E301" t="s">
        <v>23</v>
      </c>
      <c r="F301" t="s">
        <v>22</v>
      </c>
      <c r="G301" t="s">
        <v>294</v>
      </c>
      <c r="H301" t="s">
        <v>34</v>
      </c>
      <c r="I301" t="s">
        <v>8</v>
      </c>
      <c r="J301" s="4">
        <v>4</v>
      </c>
      <c r="K301" s="3">
        <v>24715.68</v>
      </c>
      <c r="L301">
        <v>15</v>
      </c>
      <c r="M301" s="2">
        <v>84033.31</v>
      </c>
      <c r="N301" s="2">
        <v>47735.46</v>
      </c>
      <c r="O301" s="2">
        <v>36297.85</v>
      </c>
      <c r="P301" s="1">
        <f>(Sales_Data[[#This Row],[Profit]]/Sales_Data[[#This Row],[Revenue]])</f>
        <v>0.43194597475691482</v>
      </c>
    </row>
    <row r="302" spans="1:16" x14ac:dyDescent="0.35">
      <c r="A302" t="s">
        <v>1090</v>
      </c>
      <c r="B302" s="5" t="s">
        <v>1089</v>
      </c>
      <c r="C302" s="5" t="s">
        <v>235</v>
      </c>
      <c r="D302" s="5" t="str">
        <f>"Q"&amp;ROUNDUP(MONTH(B302)/3,0)</f>
        <v>Q3</v>
      </c>
      <c r="E302" t="s">
        <v>4</v>
      </c>
      <c r="F302" t="s">
        <v>11</v>
      </c>
      <c r="G302" t="s">
        <v>118</v>
      </c>
      <c r="H302" t="s">
        <v>45</v>
      </c>
      <c r="I302" t="s">
        <v>8</v>
      </c>
      <c r="J302" s="4">
        <v>1</v>
      </c>
      <c r="K302" s="3">
        <v>858.41</v>
      </c>
      <c r="L302">
        <v>15</v>
      </c>
      <c r="M302" s="2">
        <v>729.65</v>
      </c>
      <c r="N302" s="2">
        <v>456.29</v>
      </c>
      <c r="O302" s="2">
        <v>273.36</v>
      </c>
      <c r="P302" s="1">
        <f>(Sales_Data[[#This Row],[Profit]]/Sales_Data[[#This Row],[Revenue]])</f>
        <v>0.37464537792092101</v>
      </c>
    </row>
    <row r="303" spans="1:16" x14ac:dyDescent="0.35">
      <c r="A303" t="s">
        <v>1088</v>
      </c>
      <c r="B303" s="5" t="s">
        <v>241</v>
      </c>
      <c r="C303" s="5" t="s">
        <v>235</v>
      </c>
      <c r="D303" s="5" t="str">
        <f>"Q"&amp;ROUNDUP(MONTH(B303)/3,0)</f>
        <v>Q3</v>
      </c>
      <c r="E303" t="s">
        <v>4</v>
      </c>
      <c r="F303" t="s">
        <v>22</v>
      </c>
      <c r="G303" t="s">
        <v>169</v>
      </c>
      <c r="H303" t="s">
        <v>1</v>
      </c>
      <c r="I303" t="s">
        <v>0</v>
      </c>
      <c r="J303" s="4">
        <v>5</v>
      </c>
      <c r="K303" s="3">
        <v>455.03</v>
      </c>
      <c r="L303">
        <v>15</v>
      </c>
      <c r="M303" s="2">
        <v>1933.88</v>
      </c>
      <c r="N303" s="2">
        <v>1470.42</v>
      </c>
      <c r="O303" s="2">
        <v>463.46</v>
      </c>
      <c r="P303" s="1">
        <f>(Sales_Data[[#This Row],[Profit]]/Sales_Data[[#This Row],[Revenue]])</f>
        <v>0.23965292572445029</v>
      </c>
    </row>
    <row r="304" spans="1:16" x14ac:dyDescent="0.35">
      <c r="A304" t="s">
        <v>1087</v>
      </c>
      <c r="B304" s="5" t="s">
        <v>273</v>
      </c>
      <c r="C304" s="5" t="s">
        <v>235</v>
      </c>
      <c r="D304" s="5" t="str">
        <f>"Q"&amp;ROUNDUP(MONTH(B304)/3,0)</f>
        <v>Q3</v>
      </c>
      <c r="E304" t="s">
        <v>36</v>
      </c>
      <c r="F304" t="s">
        <v>3</v>
      </c>
      <c r="G304" t="s">
        <v>10</v>
      </c>
      <c r="H304" t="s">
        <v>1</v>
      </c>
      <c r="I304" t="s">
        <v>0</v>
      </c>
      <c r="J304" s="4">
        <v>5</v>
      </c>
      <c r="K304" s="3">
        <v>545.52</v>
      </c>
      <c r="L304">
        <v>15</v>
      </c>
      <c r="M304" s="2">
        <v>2318.46</v>
      </c>
      <c r="N304" s="2">
        <v>1546.2</v>
      </c>
      <c r="O304" s="2">
        <v>772.26</v>
      </c>
      <c r="P304" s="1">
        <f>(Sales_Data[[#This Row],[Profit]]/Sales_Data[[#This Row],[Revenue]])</f>
        <v>0.33309179369063946</v>
      </c>
    </row>
    <row r="305" spans="1:16" x14ac:dyDescent="0.35">
      <c r="A305" t="s">
        <v>1086</v>
      </c>
      <c r="B305" s="5" t="s">
        <v>247</v>
      </c>
      <c r="C305" s="5" t="s">
        <v>235</v>
      </c>
      <c r="D305" s="5" t="str">
        <f>"Q"&amp;ROUNDUP(MONTH(B305)/3,0)</f>
        <v>Q3</v>
      </c>
      <c r="E305" t="s">
        <v>16</v>
      </c>
      <c r="F305" t="s">
        <v>63</v>
      </c>
      <c r="G305" t="s">
        <v>39</v>
      </c>
      <c r="H305" t="s">
        <v>50</v>
      </c>
      <c r="I305" t="s">
        <v>49</v>
      </c>
      <c r="J305" s="4">
        <v>6</v>
      </c>
      <c r="K305" s="3">
        <v>4087.54</v>
      </c>
      <c r="L305">
        <v>15</v>
      </c>
      <c r="M305" s="2">
        <v>20846.45</v>
      </c>
      <c r="N305" s="2">
        <v>16640.91</v>
      </c>
      <c r="O305" s="2">
        <v>4205.54</v>
      </c>
      <c r="P305" s="1">
        <f>(Sales_Data[[#This Row],[Profit]]/Sales_Data[[#This Row],[Revenue]])</f>
        <v>0.20173890518529533</v>
      </c>
    </row>
    <row r="306" spans="1:16" x14ac:dyDescent="0.35">
      <c r="A306" t="s">
        <v>1085</v>
      </c>
      <c r="B306" s="5" t="s">
        <v>239</v>
      </c>
      <c r="C306" s="5" t="s">
        <v>235</v>
      </c>
      <c r="D306" s="5" t="str">
        <f>"Q"&amp;ROUNDUP(MONTH(B306)/3,0)</f>
        <v>Q3</v>
      </c>
      <c r="E306" t="s">
        <v>36</v>
      </c>
      <c r="F306" t="s">
        <v>22</v>
      </c>
      <c r="G306" t="s">
        <v>118</v>
      </c>
      <c r="H306" t="s">
        <v>34</v>
      </c>
      <c r="I306" t="s">
        <v>8</v>
      </c>
      <c r="J306" s="4">
        <v>5</v>
      </c>
      <c r="K306" s="3">
        <v>23952.21</v>
      </c>
      <c r="L306">
        <v>15</v>
      </c>
      <c r="M306" s="2">
        <v>101796.89</v>
      </c>
      <c r="N306" s="2">
        <v>71500.14</v>
      </c>
      <c r="O306" s="2">
        <v>30296.75</v>
      </c>
      <c r="P306" s="1">
        <f>(Sales_Data[[#This Row],[Profit]]/Sales_Data[[#This Row],[Revenue]])</f>
        <v>0.2976196031136118</v>
      </c>
    </row>
    <row r="307" spans="1:16" x14ac:dyDescent="0.35">
      <c r="A307" t="s">
        <v>1084</v>
      </c>
      <c r="B307" s="5" t="s">
        <v>251</v>
      </c>
      <c r="C307" s="5" t="s">
        <v>235</v>
      </c>
      <c r="D307" s="5" t="str">
        <f>"Q"&amp;ROUNDUP(MONTH(B307)/3,0)</f>
        <v>Q3</v>
      </c>
      <c r="E307" t="s">
        <v>16</v>
      </c>
      <c r="F307" t="s">
        <v>56</v>
      </c>
      <c r="G307" t="s">
        <v>369</v>
      </c>
      <c r="H307" t="s">
        <v>34</v>
      </c>
      <c r="I307" t="s">
        <v>8</v>
      </c>
      <c r="J307" s="4">
        <v>2</v>
      </c>
      <c r="K307" s="3">
        <v>26897.439999999999</v>
      </c>
      <c r="L307">
        <v>15</v>
      </c>
      <c r="M307" s="2">
        <v>45725.65</v>
      </c>
      <c r="N307" s="2">
        <v>32749.3</v>
      </c>
      <c r="O307" s="2">
        <v>12976.35</v>
      </c>
      <c r="P307" s="1">
        <f>(Sales_Data[[#This Row],[Profit]]/Sales_Data[[#This Row],[Revenue]])</f>
        <v>0.28378710854848427</v>
      </c>
    </row>
    <row r="308" spans="1:16" x14ac:dyDescent="0.35">
      <c r="A308" t="s">
        <v>1083</v>
      </c>
      <c r="B308" s="5" t="s">
        <v>265</v>
      </c>
      <c r="C308" s="5" t="s">
        <v>235</v>
      </c>
      <c r="D308" s="5" t="str">
        <f>"Q"&amp;ROUNDUP(MONTH(B308)/3,0)</f>
        <v>Q3</v>
      </c>
      <c r="E308" t="s">
        <v>23</v>
      </c>
      <c r="F308" t="s">
        <v>63</v>
      </c>
      <c r="G308" t="s">
        <v>79</v>
      </c>
      <c r="H308" t="s">
        <v>9</v>
      </c>
      <c r="I308" t="s">
        <v>8</v>
      </c>
      <c r="J308" s="4">
        <v>7</v>
      </c>
      <c r="K308" s="3">
        <v>62020.73</v>
      </c>
      <c r="L308">
        <v>15</v>
      </c>
      <c r="M308" s="2">
        <v>369023.34</v>
      </c>
      <c r="N308" s="2">
        <v>293470.53000000003</v>
      </c>
      <c r="O308" s="2">
        <v>75552.81</v>
      </c>
      <c r="P308" s="1">
        <f>(Sales_Data[[#This Row],[Profit]]/Sales_Data[[#This Row],[Revenue]])</f>
        <v>0.20473721255679922</v>
      </c>
    </row>
    <row r="309" spans="1:16" x14ac:dyDescent="0.35">
      <c r="A309" t="s">
        <v>1082</v>
      </c>
      <c r="B309" s="5" t="s">
        <v>256</v>
      </c>
      <c r="C309" s="5" t="s">
        <v>235</v>
      </c>
      <c r="D309" s="5" t="str">
        <f>"Q"&amp;ROUNDUP(MONTH(B309)/3,0)</f>
        <v>Q3</v>
      </c>
      <c r="E309" t="s">
        <v>16</v>
      </c>
      <c r="F309" t="s">
        <v>52</v>
      </c>
      <c r="G309" t="s">
        <v>51</v>
      </c>
      <c r="H309" t="s">
        <v>34</v>
      </c>
      <c r="I309" t="s">
        <v>8</v>
      </c>
      <c r="J309" s="4">
        <v>1</v>
      </c>
      <c r="K309" s="3">
        <v>25761.29</v>
      </c>
      <c r="L309">
        <v>15</v>
      </c>
      <c r="M309" s="2">
        <v>21897.1</v>
      </c>
      <c r="N309" s="2">
        <v>12257.12</v>
      </c>
      <c r="O309" s="2">
        <v>9639.98</v>
      </c>
      <c r="P309" s="1">
        <f>(Sales_Data[[#This Row],[Profit]]/Sales_Data[[#This Row],[Revenue]])</f>
        <v>0.44024003178503091</v>
      </c>
    </row>
    <row r="310" spans="1:16" x14ac:dyDescent="0.35">
      <c r="A310" t="s">
        <v>1081</v>
      </c>
      <c r="B310" s="5" t="s">
        <v>1080</v>
      </c>
      <c r="C310" s="5" t="s">
        <v>235</v>
      </c>
      <c r="D310" s="5" t="str">
        <f>"Q"&amp;ROUNDUP(MONTH(B310)/3,0)</f>
        <v>Q3</v>
      </c>
      <c r="E310" t="s">
        <v>23</v>
      </c>
      <c r="F310" t="s">
        <v>22</v>
      </c>
      <c r="G310" t="s">
        <v>39</v>
      </c>
      <c r="H310" t="s">
        <v>50</v>
      </c>
      <c r="I310" t="s">
        <v>49</v>
      </c>
      <c r="J310" s="4">
        <v>8</v>
      </c>
      <c r="K310" s="3">
        <v>4484.45</v>
      </c>
      <c r="L310">
        <v>15</v>
      </c>
      <c r="M310" s="2">
        <v>30494.26</v>
      </c>
      <c r="N310" s="2">
        <v>20945.04</v>
      </c>
      <c r="O310" s="2">
        <v>9549.2199999999993</v>
      </c>
      <c r="P310" s="1">
        <f>(Sales_Data[[#This Row],[Profit]]/Sales_Data[[#This Row],[Revenue]])</f>
        <v>0.31314811377616641</v>
      </c>
    </row>
    <row r="311" spans="1:16" x14ac:dyDescent="0.35">
      <c r="A311" t="s">
        <v>1079</v>
      </c>
      <c r="B311" s="5" t="s">
        <v>597</v>
      </c>
      <c r="C311" s="5" t="s">
        <v>235</v>
      </c>
      <c r="D311" s="5" t="str">
        <f>"Q"&amp;ROUNDUP(MONTH(B311)/3,0)</f>
        <v>Q3</v>
      </c>
      <c r="E311" t="s">
        <v>16</v>
      </c>
      <c r="F311" t="s">
        <v>3</v>
      </c>
      <c r="G311" t="s">
        <v>92</v>
      </c>
      <c r="H311" t="s">
        <v>34</v>
      </c>
      <c r="I311" t="s">
        <v>8</v>
      </c>
      <c r="J311" s="4">
        <v>4</v>
      </c>
      <c r="K311" s="3">
        <v>25602.28</v>
      </c>
      <c r="L311">
        <v>15</v>
      </c>
      <c r="M311" s="2">
        <v>87047.75</v>
      </c>
      <c r="N311" s="2">
        <v>65523.4</v>
      </c>
      <c r="O311" s="2">
        <v>21524.35</v>
      </c>
      <c r="P311" s="1">
        <f>(Sales_Data[[#This Row],[Profit]]/Sales_Data[[#This Row],[Revenue]])</f>
        <v>0.24727060722419589</v>
      </c>
    </row>
    <row r="312" spans="1:16" x14ac:dyDescent="0.35">
      <c r="A312" t="s">
        <v>1078</v>
      </c>
      <c r="B312" s="5" t="s">
        <v>268</v>
      </c>
      <c r="C312" s="5" t="s">
        <v>235</v>
      </c>
      <c r="D312" s="5" t="str">
        <f>"Q"&amp;ROUNDUP(MONTH(B312)/3,0)</f>
        <v>Q3</v>
      </c>
      <c r="E312" t="s">
        <v>23</v>
      </c>
      <c r="F312" t="s">
        <v>22</v>
      </c>
      <c r="G312" t="s">
        <v>79</v>
      </c>
      <c r="H312" t="s">
        <v>14</v>
      </c>
      <c r="I312" t="s">
        <v>8</v>
      </c>
      <c r="J312" s="4">
        <v>7</v>
      </c>
      <c r="K312" s="3">
        <v>2719.06</v>
      </c>
      <c r="L312">
        <v>15</v>
      </c>
      <c r="M312" s="2">
        <v>16178.41</v>
      </c>
      <c r="N312" s="2">
        <v>12666.1</v>
      </c>
      <c r="O312" s="2">
        <v>3512.31</v>
      </c>
      <c r="P312" s="1">
        <f>(Sales_Data[[#This Row],[Profit]]/Sales_Data[[#This Row],[Revenue]])</f>
        <v>0.21709859003449658</v>
      </c>
    </row>
    <row r="313" spans="1:16" x14ac:dyDescent="0.35">
      <c r="A313" t="s">
        <v>1077</v>
      </c>
      <c r="B313" s="5" t="s">
        <v>1076</v>
      </c>
      <c r="C313" s="5" t="s">
        <v>235</v>
      </c>
      <c r="D313" s="5" t="str">
        <f>"Q"&amp;ROUNDUP(MONTH(B313)/3,0)</f>
        <v>Q3</v>
      </c>
      <c r="E313" t="s">
        <v>4</v>
      </c>
      <c r="F313" t="s">
        <v>63</v>
      </c>
      <c r="G313" t="s">
        <v>369</v>
      </c>
      <c r="H313" t="s">
        <v>45</v>
      </c>
      <c r="I313" t="s">
        <v>8</v>
      </c>
      <c r="J313" s="4">
        <v>7</v>
      </c>
      <c r="K313" s="3">
        <v>958.9</v>
      </c>
      <c r="L313">
        <v>15</v>
      </c>
      <c r="M313" s="2">
        <v>5705.45</v>
      </c>
      <c r="N313" s="2">
        <v>4183.25</v>
      </c>
      <c r="O313" s="2">
        <v>1522.2</v>
      </c>
      <c r="P313" s="1">
        <f>(Sales_Data[[#This Row],[Profit]]/Sales_Data[[#This Row],[Revenue]])</f>
        <v>0.26679753568955999</v>
      </c>
    </row>
    <row r="314" spans="1:16" x14ac:dyDescent="0.35">
      <c r="A314" t="s">
        <v>1075</v>
      </c>
      <c r="B314" s="5" t="s">
        <v>262</v>
      </c>
      <c r="C314" s="5" t="s">
        <v>235</v>
      </c>
      <c r="D314" s="5" t="str">
        <f>"Q"&amp;ROUNDUP(MONTH(B314)/3,0)</f>
        <v>Q3</v>
      </c>
      <c r="E314" t="s">
        <v>36</v>
      </c>
      <c r="F314" t="s">
        <v>3</v>
      </c>
      <c r="G314" t="s">
        <v>42</v>
      </c>
      <c r="H314" t="s">
        <v>14</v>
      </c>
      <c r="I314" t="s">
        <v>8</v>
      </c>
      <c r="J314" s="4">
        <v>3</v>
      </c>
      <c r="K314" s="3">
        <v>2725.95</v>
      </c>
      <c r="L314">
        <v>15</v>
      </c>
      <c r="M314" s="2">
        <v>6951.17</v>
      </c>
      <c r="N314" s="2">
        <v>3849.86</v>
      </c>
      <c r="O314" s="2">
        <v>3101.31</v>
      </c>
      <c r="P314" s="1">
        <f>(Sales_Data[[#This Row],[Profit]]/Sales_Data[[#This Row],[Revenue]])</f>
        <v>0.44615654630803159</v>
      </c>
    </row>
    <row r="315" spans="1:16" x14ac:dyDescent="0.35">
      <c r="A315" t="s">
        <v>1074</v>
      </c>
      <c r="B315" s="5" t="s">
        <v>1073</v>
      </c>
      <c r="C315" s="5" t="s">
        <v>217</v>
      </c>
      <c r="D315" s="5" t="str">
        <f>"Q"&amp;ROUNDUP(MONTH(B315)/3,0)</f>
        <v>Q2</v>
      </c>
      <c r="E315" t="s">
        <v>16</v>
      </c>
      <c r="F315" t="s">
        <v>63</v>
      </c>
      <c r="G315" t="s">
        <v>294</v>
      </c>
      <c r="H315" t="s">
        <v>59</v>
      </c>
      <c r="I315" t="s">
        <v>0</v>
      </c>
      <c r="J315" s="4">
        <v>8</v>
      </c>
      <c r="K315" s="3">
        <v>1551.66</v>
      </c>
      <c r="L315">
        <v>15</v>
      </c>
      <c r="M315" s="2">
        <v>10551.29</v>
      </c>
      <c r="N315" s="2">
        <v>7904.18</v>
      </c>
      <c r="O315" s="2">
        <v>2647.11</v>
      </c>
      <c r="P315" s="1">
        <f>(Sales_Data[[#This Row],[Profit]]/Sales_Data[[#This Row],[Revenue]])</f>
        <v>0.25088022412425398</v>
      </c>
    </row>
    <row r="316" spans="1:16" x14ac:dyDescent="0.35">
      <c r="A316" t="s">
        <v>1072</v>
      </c>
      <c r="B316" s="5" t="s">
        <v>221</v>
      </c>
      <c r="C316" s="5" t="s">
        <v>217</v>
      </c>
      <c r="D316" s="5" t="str">
        <f>"Q"&amp;ROUNDUP(MONTH(B316)/3,0)</f>
        <v>Q2</v>
      </c>
      <c r="E316" t="s">
        <v>16</v>
      </c>
      <c r="F316" t="s">
        <v>56</v>
      </c>
      <c r="G316" t="s">
        <v>35</v>
      </c>
      <c r="H316" t="s">
        <v>1</v>
      </c>
      <c r="I316" t="s">
        <v>0</v>
      </c>
      <c r="J316" s="4">
        <v>1</v>
      </c>
      <c r="K316" s="3">
        <v>487.29</v>
      </c>
      <c r="L316">
        <v>15</v>
      </c>
      <c r="M316" s="2">
        <v>414.2</v>
      </c>
      <c r="N316" s="2">
        <v>344.55</v>
      </c>
      <c r="O316" s="2">
        <v>69.650000000000006</v>
      </c>
      <c r="P316" s="1">
        <f>(Sales_Data[[#This Row],[Profit]]/Sales_Data[[#This Row],[Revenue]])</f>
        <v>0.16815548044422987</v>
      </c>
    </row>
    <row r="317" spans="1:16" x14ac:dyDescent="0.35">
      <c r="A317" t="s">
        <v>1071</v>
      </c>
      <c r="B317" s="5" t="s">
        <v>545</v>
      </c>
      <c r="C317" s="5" t="s">
        <v>217</v>
      </c>
      <c r="D317" s="5" t="str">
        <f>"Q"&amp;ROUNDUP(MONTH(B317)/3,0)</f>
        <v>Q2</v>
      </c>
      <c r="E317" t="s">
        <v>16</v>
      </c>
      <c r="F317" t="s">
        <v>52</v>
      </c>
      <c r="G317" t="s">
        <v>264</v>
      </c>
      <c r="H317" t="s">
        <v>45</v>
      </c>
      <c r="I317" t="s">
        <v>8</v>
      </c>
      <c r="J317" s="4">
        <v>1</v>
      </c>
      <c r="K317" s="3">
        <v>830.37</v>
      </c>
      <c r="L317">
        <v>15</v>
      </c>
      <c r="M317" s="2">
        <v>705.81</v>
      </c>
      <c r="N317" s="2">
        <v>570.66999999999996</v>
      </c>
      <c r="O317" s="2">
        <v>135.13999999999999</v>
      </c>
      <c r="P317" s="1">
        <f>(Sales_Data[[#This Row],[Profit]]/Sales_Data[[#This Row],[Revenue]])</f>
        <v>0.19146795879911024</v>
      </c>
    </row>
    <row r="318" spans="1:16" x14ac:dyDescent="0.35">
      <c r="A318" t="s">
        <v>1070</v>
      </c>
      <c r="B318" s="5" t="s">
        <v>225</v>
      </c>
      <c r="C318" s="5" t="s">
        <v>217</v>
      </c>
      <c r="D318" s="5" t="str">
        <f>"Q"&amp;ROUNDUP(MONTH(B318)/3,0)</f>
        <v>Q2</v>
      </c>
      <c r="E318" t="s">
        <v>23</v>
      </c>
      <c r="F318" t="s">
        <v>11</v>
      </c>
      <c r="G318" t="s">
        <v>75</v>
      </c>
      <c r="H318" t="s">
        <v>45</v>
      </c>
      <c r="I318" t="s">
        <v>8</v>
      </c>
      <c r="J318" s="4">
        <v>6</v>
      </c>
      <c r="K318" s="3">
        <v>944.88</v>
      </c>
      <c r="L318">
        <v>15</v>
      </c>
      <c r="M318" s="2">
        <v>4818.8900000000003</v>
      </c>
      <c r="N318" s="2">
        <v>3011.56</v>
      </c>
      <c r="O318" s="2">
        <v>1807.33</v>
      </c>
      <c r="P318" s="1">
        <f>(Sales_Data[[#This Row],[Profit]]/Sales_Data[[#This Row],[Revenue]])</f>
        <v>0.37505110097968614</v>
      </c>
    </row>
    <row r="319" spans="1:16" x14ac:dyDescent="0.35">
      <c r="A319" t="s">
        <v>1069</v>
      </c>
      <c r="B319" s="5" t="s">
        <v>839</v>
      </c>
      <c r="C319" s="5" t="s">
        <v>217</v>
      </c>
      <c r="D319" s="5" t="str">
        <f>"Q"&amp;ROUNDUP(MONTH(B319)/3,0)</f>
        <v>Q2</v>
      </c>
      <c r="E319" t="s">
        <v>16</v>
      </c>
      <c r="F319" t="s">
        <v>52</v>
      </c>
      <c r="G319" t="s">
        <v>55</v>
      </c>
      <c r="H319" t="s">
        <v>9</v>
      </c>
      <c r="I319" t="s">
        <v>8</v>
      </c>
      <c r="J319" s="4">
        <v>4</v>
      </c>
      <c r="K319" s="3">
        <v>60976.21</v>
      </c>
      <c r="L319">
        <v>15</v>
      </c>
      <c r="M319" s="2">
        <v>207319.11</v>
      </c>
      <c r="N319" s="2">
        <v>138028.68</v>
      </c>
      <c r="O319" s="2">
        <v>69290.429999999993</v>
      </c>
      <c r="P319" s="1">
        <f>(Sales_Data[[#This Row],[Profit]]/Sales_Data[[#This Row],[Revenue]])</f>
        <v>0.33422114343438963</v>
      </c>
    </row>
    <row r="320" spans="1:16" x14ac:dyDescent="0.35">
      <c r="A320" t="s">
        <v>1068</v>
      </c>
      <c r="B320" s="5" t="s">
        <v>227</v>
      </c>
      <c r="C320" s="5" t="s">
        <v>217</v>
      </c>
      <c r="D320" s="5" t="str">
        <f>"Q"&amp;ROUNDUP(MONTH(B320)/3,0)</f>
        <v>Q2</v>
      </c>
      <c r="E320" t="s">
        <v>4</v>
      </c>
      <c r="F320" t="s">
        <v>3</v>
      </c>
      <c r="G320" t="s">
        <v>71</v>
      </c>
      <c r="H320" t="s">
        <v>78</v>
      </c>
      <c r="I320" t="s">
        <v>19</v>
      </c>
      <c r="J320" s="4">
        <v>2</v>
      </c>
      <c r="K320" s="3">
        <v>108.57</v>
      </c>
      <c r="L320">
        <v>15</v>
      </c>
      <c r="M320" s="2">
        <v>184.57</v>
      </c>
      <c r="N320" s="2">
        <v>124.03</v>
      </c>
      <c r="O320" s="2">
        <v>60.54</v>
      </c>
      <c r="P320" s="1">
        <f>(Sales_Data[[#This Row],[Profit]]/Sales_Data[[#This Row],[Revenue]])</f>
        <v>0.328005634718535</v>
      </c>
    </row>
    <row r="321" spans="1:16" x14ac:dyDescent="0.35">
      <c r="A321" t="s">
        <v>1067</v>
      </c>
      <c r="B321" s="5" t="s">
        <v>549</v>
      </c>
      <c r="C321" s="5" t="s">
        <v>217</v>
      </c>
      <c r="D321" s="5" t="str">
        <f>"Q"&amp;ROUNDUP(MONTH(B321)/3,0)</f>
        <v>Q2</v>
      </c>
      <c r="E321" t="s">
        <v>23</v>
      </c>
      <c r="F321" t="s">
        <v>11</v>
      </c>
      <c r="G321" t="s">
        <v>60</v>
      </c>
      <c r="H321" t="s">
        <v>78</v>
      </c>
      <c r="I321" t="s">
        <v>19</v>
      </c>
      <c r="J321" s="4">
        <v>5</v>
      </c>
      <c r="K321" s="3">
        <v>119.03</v>
      </c>
      <c r="L321">
        <v>15</v>
      </c>
      <c r="M321" s="2">
        <v>505.88</v>
      </c>
      <c r="N321" s="2">
        <v>312.42</v>
      </c>
      <c r="O321" s="2">
        <v>193.46</v>
      </c>
      <c r="P321" s="1">
        <f>(Sales_Data[[#This Row],[Profit]]/Sales_Data[[#This Row],[Revenue]])</f>
        <v>0.38242270894283231</v>
      </c>
    </row>
    <row r="322" spans="1:16" x14ac:dyDescent="0.35">
      <c r="A322" t="s">
        <v>1066</v>
      </c>
      <c r="B322" s="5" t="s">
        <v>1065</v>
      </c>
      <c r="C322" s="5" t="s">
        <v>217</v>
      </c>
      <c r="D322" s="5" t="str">
        <f>"Q"&amp;ROUNDUP(MONTH(B322)/3,0)</f>
        <v>Q2</v>
      </c>
      <c r="E322" t="s">
        <v>16</v>
      </c>
      <c r="F322" t="s">
        <v>11</v>
      </c>
      <c r="G322" t="s">
        <v>79</v>
      </c>
      <c r="H322" t="s">
        <v>20</v>
      </c>
      <c r="I322" t="s">
        <v>19</v>
      </c>
      <c r="J322" s="4">
        <v>5</v>
      </c>
      <c r="K322" s="3">
        <v>32.659999999999997</v>
      </c>
      <c r="L322">
        <v>15</v>
      </c>
      <c r="M322" s="2">
        <v>138.80000000000001</v>
      </c>
      <c r="N322" s="2">
        <v>112.13</v>
      </c>
      <c r="O322" s="2">
        <v>26.67</v>
      </c>
      <c r="P322" s="1">
        <f>(Sales_Data[[#This Row],[Profit]]/Sales_Data[[#This Row],[Revenue]])</f>
        <v>0.19214697406340056</v>
      </c>
    </row>
    <row r="323" spans="1:16" x14ac:dyDescent="0.35">
      <c r="A323" t="s">
        <v>1064</v>
      </c>
      <c r="B323" s="5" t="s">
        <v>221</v>
      </c>
      <c r="C323" s="5" t="s">
        <v>217</v>
      </c>
      <c r="D323" s="5" t="str">
        <f>"Q"&amp;ROUNDUP(MONTH(B323)/3,0)</f>
        <v>Q2</v>
      </c>
      <c r="E323" t="s">
        <v>36</v>
      </c>
      <c r="F323" t="s">
        <v>11</v>
      </c>
      <c r="G323" t="s">
        <v>82</v>
      </c>
      <c r="H323" t="s">
        <v>14</v>
      </c>
      <c r="I323" t="s">
        <v>8</v>
      </c>
      <c r="J323" s="4">
        <v>2</v>
      </c>
      <c r="K323" s="3">
        <v>2340.3000000000002</v>
      </c>
      <c r="L323">
        <v>15</v>
      </c>
      <c r="M323" s="2">
        <v>3978.51</v>
      </c>
      <c r="N323" s="2">
        <v>3170.62</v>
      </c>
      <c r="O323" s="2">
        <v>807.89</v>
      </c>
      <c r="P323" s="1">
        <f>(Sales_Data[[#This Row],[Profit]]/Sales_Data[[#This Row],[Revenue]])</f>
        <v>0.2030634584304174</v>
      </c>
    </row>
    <row r="324" spans="1:16" x14ac:dyDescent="0.35">
      <c r="A324" t="s">
        <v>1063</v>
      </c>
      <c r="B324" s="5" t="s">
        <v>1062</v>
      </c>
      <c r="C324" s="5" t="s">
        <v>217</v>
      </c>
      <c r="D324" s="5" t="str">
        <f>"Q"&amp;ROUNDUP(MONTH(B324)/3,0)</f>
        <v>Q2</v>
      </c>
      <c r="E324" t="s">
        <v>16</v>
      </c>
      <c r="F324" t="s">
        <v>52</v>
      </c>
      <c r="G324" t="s">
        <v>191</v>
      </c>
      <c r="H324" t="s">
        <v>1</v>
      </c>
      <c r="I324" t="s">
        <v>0</v>
      </c>
      <c r="J324" s="4">
        <v>6</v>
      </c>
      <c r="K324" s="3">
        <v>459.8</v>
      </c>
      <c r="L324">
        <v>15</v>
      </c>
      <c r="M324" s="2">
        <v>2344.98</v>
      </c>
      <c r="N324" s="2">
        <v>1594.8</v>
      </c>
      <c r="O324" s="2">
        <v>750.18</v>
      </c>
      <c r="P324" s="1">
        <f>(Sales_Data[[#This Row],[Profit]]/Sales_Data[[#This Row],[Revenue]])</f>
        <v>0.31990891180308573</v>
      </c>
    </row>
    <row r="325" spans="1:16" x14ac:dyDescent="0.35">
      <c r="A325" t="s">
        <v>1061</v>
      </c>
      <c r="B325" s="5" t="s">
        <v>221</v>
      </c>
      <c r="C325" s="5" t="s">
        <v>217</v>
      </c>
      <c r="D325" s="5" t="str">
        <f>"Q"&amp;ROUNDUP(MONTH(B325)/3,0)</f>
        <v>Q2</v>
      </c>
      <c r="E325" t="s">
        <v>23</v>
      </c>
      <c r="F325" t="s">
        <v>52</v>
      </c>
      <c r="G325" t="s">
        <v>118</v>
      </c>
      <c r="H325" t="s">
        <v>111</v>
      </c>
      <c r="I325" t="s">
        <v>49</v>
      </c>
      <c r="J325" s="4">
        <v>4</v>
      </c>
      <c r="K325" s="3">
        <v>8614.32</v>
      </c>
      <c r="L325">
        <v>15</v>
      </c>
      <c r="M325" s="2">
        <v>29288.69</v>
      </c>
      <c r="N325" s="2">
        <v>19555.82</v>
      </c>
      <c r="O325" s="2">
        <v>9732.8700000000008</v>
      </c>
      <c r="P325" s="1">
        <f>(Sales_Data[[#This Row],[Profit]]/Sales_Data[[#This Row],[Revenue]])</f>
        <v>0.33230813669030612</v>
      </c>
    </row>
    <row r="326" spans="1:16" x14ac:dyDescent="0.35">
      <c r="A326" t="s">
        <v>1060</v>
      </c>
      <c r="B326" s="5" t="s">
        <v>847</v>
      </c>
      <c r="C326" s="5" t="s">
        <v>217</v>
      </c>
      <c r="D326" s="5" t="str">
        <f>"Q"&amp;ROUNDUP(MONTH(B326)/3,0)</f>
        <v>Q2</v>
      </c>
      <c r="E326" t="s">
        <v>23</v>
      </c>
      <c r="F326" t="s">
        <v>63</v>
      </c>
      <c r="G326" t="s">
        <v>309</v>
      </c>
      <c r="H326" t="s">
        <v>20</v>
      </c>
      <c r="I326" t="s">
        <v>19</v>
      </c>
      <c r="J326" s="4">
        <v>2</v>
      </c>
      <c r="K326" s="3">
        <v>30.69</v>
      </c>
      <c r="L326">
        <v>15</v>
      </c>
      <c r="M326" s="2">
        <v>52.17</v>
      </c>
      <c r="N326" s="2">
        <v>38.950000000000003</v>
      </c>
      <c r="O326" s="2">
        <v>13.22</v>
      </c>
      <c r="P326" s="1">
        <f>(Sales_Data[[#This Row],[Profit]]/Sales_Data[[#This Row],[Revenue]])</f>
        <v>0.25340233850872151</v>
      </c>
    </row>
    <row r="327" spans="1:16" x14ac:dyDescent="0.35">
      <c r="A327" t="s">
        <v>1059</v>
      </c>
      <c r="B327" s="5" t="s">
        <v>229</v>
      </c>
      <c r="C327" s="5" t="s">
        <v>217</v>
      </c>
      <c r="D327" s="5" t="str">
        <f>"Q"&amp;ROUNDUP(MONTH(B327)/3,0)</f>
        <v>Q2</v>
      </c>
      <c r="E327" t="s">
        <v>23</v>
      </c>
      <c r="F327" t="s">
        <v>22</v>
      </c>
      <c r="G327" t="s">
        <v>147</v>
      </c>
      <c r="H327" t="s">
        <v>50</v>
      </c>
      <c r="I327" t="s">
        <v>49</v>
      </c>
      <c r="J327" s="4">
        <v>3</v>
      </c>
      <c r="K327" s="3">
        <v>4481.05</v>
      </c>
      <c r="L327">
        <v>15</v>
      </c>
      <c r="M327" s="2">
        <v>11426.68</v>
      </c>
      <c r="N327" s="2">
        <v>7547.74</v>
      </c>
      <c r="O327" s="2">
        <v>3878.94</v>
      </c>
      <c r="P327" s="1">
        <f>(Sales_Data[[#This Row],[Profit]]/Sales_Data[[#This Row],[Revenue]])</f>
        <v>0.33946343119786326</v>
      </c>
    </row>
    <row r="328" spans="1:16" x14ac:dyDescent="0.35">
      <c r="A328" t="s">
        <v>1058</v>
      </c>
      <c r="B328" s="5" t="s">
        <v>847</v>
      </c>
      <c r="C328" s="5" t="s">
        <v>217</v>
      </c>
      <c r="D328" s="5" t="str">
        <f>"Q"&amp;ROUNDUP(MONTH(B328)/3,0)</f>
        <v>Q2</v>
      </c>
      <c r="E328" t="s">
        <v>36</v>
      </c>
      <c r="F328" t="s">
        <v>22</v>
      </c>
      <c r="G328" t="s">
        <v>294</v>
      </c>
      <c r="H328" t="s">
        <v>20</v>
      </c>
      <c r="I328" t="s">
        <v>19</v>
      </c>
      <c r="J328" s="4">
        <v>5</v>
      </c>
      <c r="K328" s="3">
        <v>28.91</v>
      </c>
      <c r="L328">
        <v>15</v>
      </c>
      <c r="M328" s="2">
        <v>122.87</v>
      </c>
      <c r="N328" s="2">
        <v>94.79</v>
      </c>
      <c r="O328" s="2">
        <v>28.08</v>
      </c>
      <c r="P328" s="1">
        <f>(Sales_Data[[#This Row],[Profit]]/Sales_Data[[#This Row],[Revenue]])</f>
        <v>0.22853422316269226</v>
      </c>
    </row>
    <row r="329" spans="1:16" x14ac:dyDescent="0.35">
      <c r="A329" t="s">
        <v>1057</v>
      </c>
      <c r="B329" s="5" t="s">
        <v>565</v>
      </c>
      <c r="C329" s="5" t="s">
        <v>217</v>
      </c>
      <c r="D329" s="5" t="str">
        <f>"Q"&amp;ROUNDUP(MONTH(B329)/3,0)</f>
        <v>Q2</v>
      </c>
      <c r="E329" t="s">
        <v>4</v>
      </c>
      <c r="F329" t="s">
        <v>3</v>
      </c>
      <c r="G329" t="s">
        <v>112</v>
      </c>
      <c r="H329" t="s">
        <v>9</v>
      </c>
      <c r="I329" t="s">
        <v>8</v>
      </c>
      <c r="J329" s="4">
        <v>3</v>
      </c>
      <c r="K329" s="3">
        <v>63199.31</v>
      </c>
      <c r="L329">
        <v>15</v>
      </c>
      <c r="M329" s="2">
        <v>161158.24</v>
      </c>
      <c r="N329" s="2">
        <v>98519.99</v>
      </c>
      <c r="O329" s="2">
        <v>62638.25</v>
      </c>
      <c r="P329" s="1">
        <f>(Sales_Data[[#This Row],[Profit]]/Sales_Data[[#This Row],[Revenue]])</f>
        <v>0.38867544098272605</v>
      </c>
    </row>
    <row r="330" spans="1:16" x14ac:dyDescent="0.35">
      <c r="A330" t="s">
        <v>1056</v>
      </c>
      <c r="B330" s="5" t="s">
        <v>538</v>
      </c>
      <c r="C330" s="5" t="s">
        <v>184</v>
      </c>
      <c r="D330" s="5" t="str">
        <f>"Q"&amp;ROUNDUP(MONTH(B330)/3,0)</f>
        <v>Q1</v>
      </c>
      <c r="E330" t="s">
        <v>36</v>
      </c>
      <c r="F330" t="s">
        <v>3</v>
      </c>
      <c r="G330" t="s">
        <v>309</v>
      </c>
      <c r="H330" t="s">
        <v>9</v>
      </c>
      <c r="I330" t="s">
        <v>8</v>
      </c>
      <c r="J330" s="4">
        <v>8</v>
      </c>
      <c r="K330" s="3">
        <v>57720.9</v>
      </c>
      <c r="L330">
        <v>15</v>
      </c>
      <c r="M330" s="2">
        <v>392502.12</v>
      </c>
      <c r="N330" s="2">
        <v>331093.59000000003</v>
      </c>
      <c r="O330" s="2">
        <v>61408.53</v>
      </c>
      <c r="P330" s="1">
        <f>(Sales_Data[[#This Row],[Profit]]/Sales_Data[[#This Row],[Revenue]])</f>
        <v>0.15645400845223459</v>
      </c>
    </row>
    <row r="331" spans="1:16" x14ac:dyDescent="0.35">
      <c r="A331" t="s">
        <v>1055</v>
      </c>
      <c r="B331" s="5" t="s">
        <v>818</v>
      </c>
      <c r="C331" s="5" t="s">
        <v>184</v>
      </c>
      <c r="D331" s="5" t="str">
        <f>"Q"&amp;ROUNDUP(MONTH(B331)/3,0)</f>
        <v>Q1</v>
      </c>
      <c r="E331" t="s">
        <v>4</v>
      </c>
      <c r="F331" t="s">
        <v>63</v>
      </c>
      <c r="G331" t="s">
        <v>169</v>
      </c>
      <c r="H331" t="s">
        <v>78</v>
      </c>
      <c r="I331" t="s">
        <v>19</v>
      </c>
      <c r="J331" s="4">
        <v>5</v>
      </c>
      <c r="K331" s="3">
        <v>113.72</v>
      </c>
      <c r="L331">
        <v>15</v>
      </c>
      <c r="M331" s="2">
        <v>483.31</v>
      </c>
      <c r="N331" s="2">
        <v>293.75</v>
      </c>
      <c r="O331" s="2">
        <v>189.56</v>
      </c>
      <c r="P331" s="1">
        <f>(Sales_Data[[#This Row],[Profit]]/Sales_Data[[#This Row],[Revenue]])</f>
        <v>0.39221203782251557</v>
      </c>
    </row>
    <row r="332" spans="1:16" x14ac:dyDescent="0.35">
      <c r="A332" t="s">
        <v>1054</v>
      </c>
      <c r="B332" s="5" t="s">
        <v>185</v>
      </c>
      <c r="C332" s="5" t="s">
        <v>184</v>
      </c>
      <c r="D332" s="5" t="str">
        <f>"Q"&amp;ROUNDUP(MONTH(B332)/3,0)</f>
        <v>Q1</v>
      </c>
      <c r="E332" t="s">
        <v>23</v>
      </c>
      <c r="F332" t="s">
        <v>3</v>
      </c>
      <c r="G332" t="s">
        <v>71</v>
      </c>
      <c r="H332" t="s">
        <v>14</v>
      </c>
      <c r="I332" t="s">
        <v>8</v>
      </c>
      <c r="J332" s="4">
        <v>6</v>
      </c>
      <c r="K332" s="3">
        <v>2662.63</v>
      </c>
      <c r="L332">
        <v>15</v>
      </c>
      <c r="M332" s="2">
        <v>13579.41</v>
      </c>
      <c r="N332" s="2">
        <v>8062.38</v>
      </c>
      <c r="O332" s="2">
        <v>5517.03</v>
      </c>
      <c r="P332" s="1">
        <f>(Sales_Data[[#This Row],[Profit]]/Sales_Data[[#This Row],[Revenue]])</f>
        <v>0.40627906514347822</v>
      </c>
    </row>
    <row r="333" spans="1:16" x14ac:dyDescent="0.35">
      <c r="A333" t="s">
        <v>1053</v>
      </c>
      <c r="B333" s="5" t="s">
        <v>1046</v>
      </c>
      <c r="C333" s="5" t="s">
        <v>184</v>
      </c>
      <c r="D333" s="5" t="str">
        <f>"Q"&amp;ROUNDUP(MONTH(B333)/3,0)</f>
        <v>Q1</v>
      </c>
      <c r="E333" t="s">
        <v>36</v>
      </c>
      <c r="F333" t="s">
        <v>52</v>
      </c>
      <c r="G333" t="s">
        <v>231</v>
      </c>
      <c r="H333" t="s">
        <v>1</v>
      </c>
      <c r="I333" t="s">
        <v>0</v>
      </c>
      <c r="J333" s="4">
        <v>3</v>
      </c>
      <c r="K333" s="3">
        <v>499.63</v>
      </c>
      <c r="L333">
        <v>15</v>
      </c>
      <c r="M333" s="2">
        <v>1274.06</v>
      </c>
      <c r="N333" s="2">
        <v>968.25</v>
      </c>
      <c r="O333" s="2">
        <v>305.81</v>
      </c>
      <c r="P333" s="1">
        <f>(Sales_Data[[#This Row],[Profit]]/Sales_Data[[#This Row],[Revenue]])</f>
        <v>0.24002794216912862</v>
      </c>
    </row>
    <row r="334" spans="1:16" x14ac:dyDescent="0.35">
      <c r="A334" t="s">
        <v>1052</v>
      </c>
      <c r="B334" s="5" t="s">
        <v>215</v>
      </c>
      <c r="C334" s="5" t="s">
        <v>184</v>
      </c>
      <c r="D334" s="5" t="str">
        <f>"Q"&amp;ROUNDUP(MONTH(B334)/3,0)</f>
        <v>Q1</v>
      </c>
      <c r="E334" t="s">
        <v>36</v>
      </c>
      <c r="F334" t="s">
        <v>22</v>
      </c>
      <c r="G334" t="s">
        <v>26</v>
      </c>
      <c r="H334" t="s">
        <v>45</v>
      </c>
      <c r="I334" t="s">
        <v>8</v>
      </c>
      <c r="J334" s="4">
        <v>4</v>
      </c>
      <c r="K334" s="3">
        <v>900.04</v>
      </c>
      <c r="L334">
        <v>15</v>
      </c>
      <c r="M334" s="2">
        <v>3060.14</v>
      </c>
      <c r="N334" s="2">
        <v>2121.29</v>
      </c>
      <c r="O334" s="2">
        <v>938.85</v>
      </c>
      <c r="P334" s="1">
        <f>(Sales_Data[[#This Row],[Profit]]/Sales_Data[[#This Row],[Revenue]])</f>
        <v>0.30679968890312209</v>
      </c>
    </row>
    <row r="335" spans="1:16" x14ac:dyDescent="0.35">
      <c r="A335" t="s">
        <v>1051</v>
      </c>
      <c r="B335" s="5" t="s">
        <v>528</v>
      </c>
      <c r="C335" s="5" t="s">
        <v>184</v>
      </c>
      <c r="D335" s="5" t="str">
        <f>"Q"&amp;ROUNDUP(MONTH(B335)/3,0)</f>
        <v>Q1</v>
      </c>
      <c r="E335" t="s">
        <v>16</v>
      </c>
      <c r="F335" t="s">
        <v>11</v>
      </c>
      <c r="G335" t="s">
        <v>255</v>
      </c>
      <c r="H335" t="s">
        <v>111</v>
      </c>
      <c r="I335" t="s">
        <v>49</v>
      </c>
      <c r="J335" s="4">
        <v>5</v>
      </c>
      <c r="K335" s="3">
        <v>7664.67</v>
      </c>
      <c r="L335">
        <v>15</v>
      </c>
      <c r="M335" s="2">
        <v>32574.85</v>
      </c>
      <c r="N335" s="2">
        <v>20056.099999999999</v>
      </c>
      <c r="O335" s="2">
        <v>12518.75</v>
      </c>
      <c r="P335" s="1">
        <f>(Sales_Data[[#This Row],[Profit]]/Sales_Data[[#This Row],[Revenue]])</f>
        <v>0.38430721860576489</v>
      </c>
    </row>
    <row r="336" spans="1:16" x14ac:dyDescent="0.35">
      <c r="A336" t="s">
        <v>1050</v>
      </c>
      <c r="B336" s="5" t="s">
        <v>1049</v>
      </c>
      <c r="C336" s="5" t="s">
        <v>184</v>
      </c>
      <c r="D336" s="5" t="str">
        <f>"Q"&amp;ROUNDUP(MONTH(B336)/3,0)</f>
        <v>Q1</v>
      </c>
      <c r="E336" t="s">
        <v>23</v>
      </c>
      <c r="F336" t="s">
        <v>56</v>
      </c>
      <c r="G336" t="s">
        <v>82</v>
      </c>
      <c r="H336" t="s">
        <v>20</v>
      </c>
      <c r="I336" t="s">
        <v>19</v>
      </c>
      <c r="J336" s="4">
        <v>3</v>
      </c>
      <c r="K336" s="3">
        <v>27.54</v>
      </c>
      <c r="L336">
        <v>15</v>
      </c>
      <c r="M336" s="2">
        <v>70.23</v>
      </c>
      <c r="N336" s="2">
        <v>44.62</v>
      </c>
      <c r="O336" s="2">
        <v>25.61</v>
      </c>
      <c r="P336" s="1">
        <f>(Sales_Data[[#This Row],[Profit]]/Sales_Data[[#This Row],[Revenue]])</f>
        <v>0.36465897764488109</v>
      </c>
    </row>
    <row r="337" spans="1:16" x14ac:dyDescent="0.35">
      <c r="A337" t="s">
        <v>1048</v>
      </c>
      <c r="B337" s="5" t="s">
        <v>818</v>
      </c>
      <c r="C337" s="5" t="s">
        <v>184</v>
      </c>
      <c r="D337" s="5" t="str">
        <f>"Q"&amp;ROUNDUP(MONTH(B337)/3,0)</f>
        <v>Q1</v>
      </c>
      <c r="E337" t="s">
        <v>4</v>
      </c>
      <c r="F337" t="s">
        <v>3</v>
      </c>
      <c r="G337" t="s">
        <v>214</v>
      </c>
      <c r="H337" t="s">
        <v>50</v>
      </c>
      <c r="I337" t="s">
        <v>49</v>
      </c>
      <c r="J337" s="4">
        <v>2</v>
      </c>
      <c r="K337" s="3">
        <v>4164.54</v>
      </c>
      <c r="L337">
        <v>15</v>
      </c>
      <c r="M337" s="2">
        <v>7079.72</v>
      </c>
      <c r="N337" s="2">
        <v>5891.36</v>
      </c>
      <c r="O337" s="2">
        <v>1188.3599999999999</v>
      </c>
      <c r="P337" s="1">
        <f>(Sales_Data[[#This Row],[Profit]]/Sales_Data[[#This Row],[Revenue]])</f>
        <v>0.16785409592469758</v>
      </c>
    </row>
    <row r="338" spans="1:16" x14ac:dyDescent="0.35">
      <c r="A338" t="s">
        <v>1047</v>
      </c>
      <c r="B338" s="5" t="s">
        <v>1046</v>
      </c>
      <c r="C338" s="5" t="s">
        <v>184</v>
      </c>
      <c r="D338" s="5" t="str">
        <f>"Q"&amp;ROUNDUP(MONTH(B338)/3,0)</f>
        <v>Q1</v>
      </c>
      <c r="E338" t="s">
        <v>23</v>
      </c>
      <c r="F338" t="s">
        <v>11</v>
      </c>
      <c r="G338" t="s">
        <v>150</v>
      </c>
      <c r="H338" t="s">
        <v>111</v>
      </c>
      <c r="I338" t="s">
        <v>49</v>
      </c>
      <c r="J338" s="4">
        <v>8</v>
      </c>
      <c r="K338" s="3">
        <v>7262.8</v>
      </c>
      <c r="L338">
        <v>15</v>
      </c>
      <c r="M338" s="2">
        <v>49387.040000000001</v>
      </c>
      <c r="N338" s="2">
        <v>35494.93</v>
      </c>
      <c r="O338" s="2">
        <v>13892.11</v>
      </c>
      <c r="P338" s="1">
        <f>(Sales_Data[[#This Row],[Profit]]/Sales_Data[[#This Row],[Revenue]])</f>
        <v>0.28129059769526582</v>
      </c>
    </row>
    <row r="339" spans="1:16" x14ac:dyDescent="0.35">
      <c r="A339" t="s">
        <v>1045</v>
      </c>
      <c r="B339" s="5" t="s">
        <v>528</v>
      </c>
      <c r="C339" s="5" t="s">
        <v>184</v>
      </c>
      <c r="D339" s="5" t="str">
        <f>"Q"&amp;ROUNDUP(MONTH(B339)/3,0)</f>
        <v>Q1</v>
      </c>
      <c r="E339" t="s">
        <v>23</v>
      </c>
      <c r="F339" t="s">
        <v>63</v>
      </c>
      <c r="G339" t="s">
        <v>255</v>
      </c>
      <c r="H339" t="s">
        <v>1</v>
      </c>
      <c r="I339" t="s">
        <v>0</v>
      </c>
      <c r="J339" s="4">
        <v>7</v>
      </c>
      <c r="K339" s="3">
        <v>450.46</v>
      </c>
      <c r="L339">
        <v>15</v>
      </c>
      <c r="M339" s="2">
        <v>2680.24</v>
      </c>
      <c r="N339" s="2">
        <v>1741.9</v>
      </c>
      <c r="O339" s="2">
        <v>938.34</v>
      </c>
      <c r="P339" s="1">
        <f>(Sales_Data[[#This Row],[Profit]]/Sales_Data[[#This Row],[Revenue]])</f>
        <v>0.35009551383458204</v>
      </c>
    </row>
    <row r="340" spans="1:16" x14ac:dyDescent="0.35">
      <c r="A340" t="s">
        <v>1044</v>
      </c>
      <c r="B340" s="5" t="s">
        <v>212</v>
      </c>
      <c r="C340" s="5" t="s">
        <v>184</v>
      </c>
      <c r="D340" s="5" t="str">
        <f>"Q"&amp;ROUNDUP(MONTH(B340)/3,0)</f>
        <v>Q1</v>
      </c>
      <c r="E340" t="s">
        <v>4</v>
      </c>
      <c r="F340" t="s">
        <v>63</v>
      </c>
      <c r="G340" t="s">
        <v>255</v>
      </c>
      <c r="H340" t="s">
        <v>78</v>
      </c>
      <c r="I340" t="s">
        <v>19</v>
      </c>
      <c r="J340" s="4">
        <v>7</v>
      </c>
      <c r="K340" s="3">
        <v>129.84</v>
      </c>
      <c r="L340">
        <v>15</v>
      </c>
      <c r="M340" s="2">
        <v>772.55</v>
      </c>
      <c r="N340" s="2">
        <v>571.16999999999996</v>
      </c>
      <c r="O340" s="2">
        <v>201.38</v>
      </c>
      <c r="P340" s="1">
        <f>(Sales_Data[[#This Row],[Profit]]/Sales_Data[[#This Row],[Revenue]])</f>
        <v>0.26066921234871532</v>
      </c>
    </row>
    <row r="341" spans="1:16" x14ac:dyDescent="0.35">
      <c r="A341" t="s">
        <v>1043</v>
      </c>
      <c r="B341" s="5" t="s">
        <v>215</v>
      </c>
      <c r="C341" s="5" t="s">
        <v>184</v>
      </c>
      <c r="D341" s="5" t="str">
        <f>"Q"&amp;ROUNDUP(MONTH(B341)/3,0)</f>
        <v>Q1</v>
      </c>
      <c r="E341" t="s">
        <v>23</v>
      </c>
      <c r="F341" t="s">
        <v>3</v>
      </c>
      <c r="G341" t="s">
        <v>108</v>
      </c>
      <c r="H341" t="s">
        <v>1</v>
      </c>
      <c r="I341" t="s">
        <v>0</v>
      </c>
      <c r="J341" s="4">
        <v>8</v>
      </c>
      <c r="K341" s="3">
        <v>530.51</v>
      </c>
      <c r="L341">
        <v>15</v>
      </c>
      <c r="M341" s="2">
        <v>3607.47</v>
      </c>
      <c r="N341" s="2">
        <v>2786.11</v>
      </c>
      <c r="O341" s="2">
        <v>821.36</v>
      </c>
      <c r="P341" s="1">
        <f>(Sales_Data[[#This Row],[Profit]]/Sales_Data[[#This Row],[Revenue]])</f>
        <v>0.22768311309588163</v>
      </c>
    </row>
    <row r="342" spans="1:16" x14ac:dyDescent="0.35">
      <c r="A342" t="s">
        <v>1042</v>
      </c>
      <c r="B342" s="5" t="s">
        <v>522</v>
      </c>
      <c r="C342" s="5" t="s">
        <v>184</v>
      </c>
      <c r="D342" s="5" t="str">
        <f>"Q"&amp;ROUNDUP(MONTH(B342)/3,0)</f>
        <v>Q1</v>
      </c>
      <c r="E342" t="s">
        <v>4</v>
      </c>
      <c r="F342" t="s">
        <v>3</v>
      </c>
      <c r="G342" t="s">
        <v>68</v>
      </c>
      <c r="H342" t="s">
        <v>34</v>
      </c>
      <c r="I342" t="s">
        <v>8</v>
      </c>
      <c r="J342" s="4">
        <v>5</v>
      </c>
      <c r="K342" s="3">
        <v>22904.3</v>
      </c>
      <c r="L342">
        <v>15</v>
      </c>
      <c r="M342" s="2">
        <v>97343.27</v>
      </c>
      <c r="N342" s="2">
        <v>70606.73</v>
      </c>
      <c r="O342" s="2">
        <v>26736.54</v>
      </c>
      <c r="P342" s="1">
        <f>(Sales_Data[[#This Row],[Profit]]/Sales_Data[[#This Row],[Revenue]])</f>
        <v>0.27466243942698865</v>
      </c>
    </row>
    <row r="343" spans="1:16" x14ac:dyDescent="0.35">
      <c r="A343" t="s">
        <v>1041</v>
      </c>
      <c r="B343" s="5" t="s">
        <v>1040</v>
      </c>
      <c r="C343" s="5" t="s">
        <v>184</v>
      </c>
      <c r="D343" s="5" t="str">
        <f>"Q"&amp;ROUNDUP(MONTH(B343)/3,0)</f>
        <v>Q1</v>
      </c>
      <c r="E343" t="s">
        <v>36</v>
      </c>
      <c r="F343" t="s">
        <v>22</v>
      </c>
      <c r="G343" t="s">
        <v>15</v>
      </c>
      <c r="H343" t="s">
        <v>50</v>
      </c>
      <c r="I343" t="s">
        <v>49</v>
      </c>
      <c r="J343" s="4">
        <v>7</v>
      </c>
      <c r="K343" s="3">
        <v>4773.09</v>
      </c>
      <c r="L343">
        <v>15</v>
      </c>
      <c r="M343" s="2">
        <v>28399.89</v>
      </c>
      <c r="N343" s="2">
        <v>15940.82</v>
      </c>
      <c r="O343" s="2">
        <v>12459.07</v>
      </c>
      <c r="P343" s="1">
        <f>(Sales_Data[[#This Row],[Profit]]/Sales_Data[[#This Row],[Revenue]])</f>
        <v>0.43870134708268238</v>
      </c>
    </row>
    <row r="344" spans="1:16" x14ac:dyDescent="0.35">
      <c r="A344" t="s">
        <v>1039</v>
      </c>
      <c r="B344" s="5" t="s">
        <v>818</v>
      </c>
      <c r="C344" s="5" t="s">
        <v>184</v>
      </c>
      <c r="D344" s="5" t="str">
        <f>"Q"&amp;ROUNDUP(MONTH(B344)/3,0)</f>
        <v>Q1</v>
      </c>
      <c r="E344" t="s">
        <v>4</v>
      </c>
      <c r="F344" t="s">
        <v>3</v>
      </c>
      <c r="G344" t="s">
        <v>150</v>
      </c>
      <c r="H344" t="s">
        <v>20</v>
      </c>
      <c r="I344" t="s">
        <v>19</v>
      </c>
      <c r="J344" s="4">
        <v>4</v>
      </c>
      <c r="K344" s="3">
        <v>29.81</v>
      </c>
      <c r="L344">
        <v>15</v>
      </c>
      <c r="M344" s="2">
        <v>101.35</v>
      </c>
      <c r="N344" s="2">
        <v>78.59</v>
      </c>
      <c r="O344" s="2">
        <v>22.76</v>
      </c>
      <c r="P344" s="1">
        <f>(Sales_Data[[#This Row],[Profit]]/Sales_Data[[#This Row],[Revenue]])</f>
        <v>0.22456832757770107</v>
      </c>
    </row>
    <row r="345" spans="1:16" x14ac:dyDescent="0.35">
      <c r="A345" t="s">
        <v>1038</v>
      </c>
      <c r="B345" s="5" t="s">
        <v>160</v>
      </c>
      <c r="C345" s="5" t="s">
        <v>151</v>
      </c>
      <c r="D345" s="5" t="str">
        <f>"Q"&amp;ROUNDUP(MONTH(B345)/3,0)</f>
        <v>Q2</v>
      </c>
      <c r="E345" t="s">
        <v>23</v>
      </c>
      <c r="F345" t="s">
        <v>63</v>
      </c>
      <c r="G345" t="s">
        <v>116</v>
      </c>
      <c r="H345" t="s">
        <v>9</v>
      </c>
      <c r="I345" t="s">
        <v>8</v>
      </c>
      <c r="J345" s="4">
        <v>7</v>
      </c>
      <c r="K345" s="3">
        <v>57598.59</v>
      </c>
      <c r="L345">
        <v>15</v>
      </c>
      <c r="M345" s="2">
        <v>342711.61</v>
      </c>
      <c r="N345" s="2">
        <v>282562.46000000002</v>
      </c>
      <c r="O345" s="2">
        <v>60149.15</v>
      </c>
      <c r="P345" s="1">
        <f>(Sales_Data[[#This Row],[Profit]]/Sales_Data[[#This Row],[Revenue]])</f>
        <v>0.17550951950533572</v>
      </c>
    </row>
    <row r="346" spans="1:16" x14ac:dyDescent="0.35">
      <c r="A346" t="s">
        <v>1037</v>
      </c>
      <c r="B346" s="5" t="s">
        <v>492</v>
      </c>
      <c r="C346" s="5" t="s">
        <v>151</v>
      </c>
      <c r="D346" s="5" t="str">
        <f>"Q"&amp;ROUNDUP(MONTH(B346)/3,0)</f>
        <v>Q2</v>
      </c>
      <c r="E346" t="s">
        <v>36</v>
      </c>
      <c r="F346" t="s">
        <v>22</v>
      </c>
      <c r="G346" t="s">
        <v>220</v>
      </c>
      <c r="H346" t="s">
        <v>1</v>
      </c>
      <c r="I346" t="s">
        <v>0</v>
      </c>
      <c r="J346" s="4">
        <v>5</v>
      </c>
      <c r="K346" s="3">
        <v>500.27</v>
      </c>
      <c r="L346">
        <v>15</v>
      </c>
      <c r="M346" s="2">
        <v>2126.15</v>
      </c>
      <c r="N346" s="2">
        <v>1209.92</v>
      </c>
      <c r="O346" s="2">
        <v>916.23</v>
      </c>
      <c r="P346" s="1">
        <f>(Sales_Data[[#This Row],[Profit]]/Sales_Data[[#This Row],[Revenue]])</f>
        <v>0.43093384756484726</v>
      </c>
    </row>
    <row r="347" spans="1:16" x14ac:dyDescent="0.35">
      <c r="A347" t="s">
        <v>1036</v>
      </c>
      <c r="B347" s="5" t="s">
        <v>805</v>
      </c>
      <c r="C347" s="5" t="s">
        <v>151</v>
      </c>
      <c r="D347" s="5" t="str">
        <f>"Q"&amp;ROUNDUP(MONTH(B347)/3,0)</f>
        <v>Q2</v>
      </c>
      <c r="E347" t="s">
        <v>23</v>
      </c>
      <c r="F347" t="s">
        <v>63</v>
      </c>
      <c r="G347" t="s">
        <v>142</v>
      </c>
      <c r="H347" t="s">
        <v>14</v>
      </c>
      <c r="I347" t="s">
        <v>8</v>
      </c>
      <c r="J347" s="4">
        <v>3</v>
      </c>
      <c r="K347" s="3">
        <v>2585.3000000000002</v>
      </c>
      <c r="L347">
        <v>15</v>
      </c>
      <c r="M347" s="2">
        <v>6592.52</v>
      </c>
      <c r="N347" s="2">
        <v>4562.6400000000003</v>
      </c>
      <c r="O347" s="2">
        <v>2029.88</v>
      </c>
      <c r="P347" s="1">
        <f>(Sales_Data[[#This Row],[Profit]]/Sales_Data[[#This Row],[Revenue]])</f>
        <v>0.30790653649894123</v>
      </c>
    </row>
    <row r="348" spans="1:16" x14ac:dyDescent="0.35">
      <c r="A348" t="s">
        <v>1035</v>
      </c>
      <c r="B348" s="5" t="s">
        <v>164</v>
      </c>
      <c r="C348" s="5" t="s">
        <v>151</v>
      </c>
      <c r="D348" s="5" t="str">
        <f>"Q"&amp;ROUNDUP(MONTH(B348)/3,0)</f>
        <v>Q2</v>
      </c>
      <c r="E348" t="s">
        <v>16</v>
      </c>
      <c r="F348" t="s">
        <v>56</v>
      </c>
      <c r="G348" t="s">
        <v>309</v>
      </c>
      <c r="H348" t="s">
        <v>34</v>
      </c>
      <c r="I348" t="s">
        <v>8</v>
      </c>
      <c r="J348" s="4">
        <v>3</v>
      </c>
      <c r="K348" s="3">
        <v>26181.54</v>
      </c>
      <c r="L348">
        <v>15</v>
      </c>
      <c r="M348" s="2">
        <v>66762.929999999993</v>
      </c>
      <c r="N348" s="2">
        <v>49877.41</v>
      </c>
      <c r="O348" s="2">
        <v>16885.52</v>
      </c>
      <c r="P348" s="1">
        <f>(Sales_Data[[#This Row],[Profit]]/Sales_Data[[#This Row],[Revenue]])</f>
        <v>0.25291759963201138</v>
      </c>
    </row>
    <row r="349" spans="1:16" x14ac:dyDescent="0.35">
      <c r="A349" t="s">
        <v>1034</v>
      </c>
      <c r="B349" s="5" t="s">
        <v>809</v>
      </c>
      <c r="C349" s="5" t="s">
        <v>151</v>
      </c>
      <c r="D349" s="5" t="str">
        <f>"Q"&amp;ROUNDUP(MONTH(B349)/3,0)</f>
        <v>Q2</v>
      </c>
      <c r="E349" t="s">
        <v>4</v>
      </c>
      <c r="F349" t="s">
        <v>56</v>
      </c>
      <c r="G349" t="s">
        <v>124</v>
      </c>
      <c r="H349" t="s">
        <v>34</v>
      </c>
      <c r="I349" t="s">
        <v>8</v>
      </c>
      <c r="J349" s="4">
        <v>7</v>
      </c>
      <c r="K349" s="3">
        <v>25177.72</v>
      </c>
      <c r="L349">
        <v>15</v>
      </c>
      <c r="M349" s="2">
        <v>149807.43</v>
      </c>
      <c r="N349" s="2">
        <v>89076.86</v>
      </c>
      <c r="O349" s="2">
        <v>60730.57</v>
      </c>
      <c r="P349" s="1">
        <f>(Sales_Data[[#This Row],[Profit]]/Sales_Data[[#This Row],[Revenue]])</f>
        <v>0.4053909075137328</v>
      </c>
    </row>
    <row r="350" spans="1:16" x14ac:dyDescent="0.35">
      <c r="A350" t="s">
        <v>1033</v>
      </c>
      <c r="B350" s="5" t="s">
        <v>172</v>
      </c>
      <c r="C350" s="5" t="s">
        <v>151</v>
      </c>
      <c r="D350" s="5" t="str">
        <f>"Q"&amp;ROUNDUP(MONTH(B350)/3,0)</f>
        <v>Q2</v>
      </c>
      <c r="E350" t="s">
        <v>36</v>
      </c>
      <c r="F350" t="s">
        <v>63</v>
      </c>
      <c r="G350" t="s">
        <v>98</v>
      </c>
      <c r="H350" t="s">
        <v>1</v>
      </c>
      <c r="I350" t="s">
        <v>0</v>
      </c>
      <c r="J350" s="4">
        <v>3</v>
      </c>
      <c r="K350" s="3">
        <v>524.45000000000005</v>
      </c>
      <c r="L350">
        <v>15</v>
      </c>
      <c r="M350" s="2">
        <v>1337.35</v>
      </c>
      <c r="N350" s="2">
        <v>1046.75</v>
      </c>
      <c r="O350" s="2">
        <v>290.60000000000002</v>
      </c>
      <c r="P350" s="1">
        <f>(Sales_Data[[#This Row],[Profit]]/Sales_Data[[#This Row],[Revenue]])</f>
        <v>0.2172953976146858</v>
      </c>
    </row>
    <row r="351" spans="1:16" x14ac:dyDescent="0.35">
      <c r="A351" t="s">
        <v>1032</v>
      </c>
      <c r="B351" s="5" t="s">
        <v>494</v>
      </c>
      <c r="C351" s="5" t="s">
        <v>151</v>
      </c>
      <c r="D351" s="5" t="str">
        <f>"Q"&amp;ROUNDUP(MONTH(B351)/3,0)</f>
        <v>Q2</v>
      </c>
      <c r="E351" t="s">
        <v>23</v>
      </c>
      <c r="F351" t="s">
        <v>11</v>
      </c>
      <c r="G351" t="s">
        <v>142</v>
      </c>
      <c r="H351" t="s">
        <v>111</v>
      </c>
      <c r="I351" t="s">
        <v>49</v>
      </c>
      <c r="J351" s="4">
        <v>4</v>
      </c>
      <c r="K351" s="3">
        <v>7991.6</v>
      </c>
      <c r="L351">
        <v>15</v>
      </c>
      <c r="M351" s="2">
        <v>27171.439999999999</v>
      </c>
      <c r="N351" s="2">
        <v>18336.5</v>
      </c>
      <c r="O351" s="2">
        <v>8834.94</v>
      </c>
      <c r="P351" s="1">
        <f>(Sales_Data[[#This Row],[Profit]]/Sales_Data[[#This Row],[Revenue]])</f>
        <v>0.32515538374116354</v>
      </c>
    </row>
    <row r="352" spans="1:16" x14ac:dyDescent="0.35">
      <c r="A352" t="s">
        <v>1031</v>
      </c>
      <c r="B352" s="5" t="s">
        <v>1030</v>
      </c>
      <c r="C352" s="5" t="s">
        <v>151</v>
      </c>
      <c r="D352" s="5" t="str">
        <f>"Q"&amp;ROUNDUP(MONTH(B352)/3,0)</f>
        <v>Q2</v>
      </c>
      <c r="E352" t="s">
        <v>4</v>
      </c>
      <c r="F352" t="s">
        <v>56</v>
      </c>
      <c r="G352" t="s">
        <v>104</v>
      </c>
      <c r="H352" t="s">
        <v>14</v>
      </c>
      <c r="I352" t="s">
        <v>8</v>
      </c>
      <c r="J352" s="4">
        <v>2</v>
      </c>
      <c r="K352" s="3">
        <v>2410.0500000000002</v>
      </c>
      <c r="L352">
        <v>15</v>
      </c>
      <c r="M352" s="2">
        <v>4097.09</v>
      </c>
      <c r="N352" s="2">
        <v>3356.33</v>
      </c>
      <c r="O352" s="2">
        <v>740.76</v>
      </c>
      <c r="P352" s="1">
        <f>(Sales_Data[[#This Row],[Profit]]/Sales_Data[[#This Row],[Revenue]])</f>
        <v>0.18080149569572548</v>
      </c>
    </row>
    <row r="353" spans="1:16" x14ac:dyDescent="0.35">
      <c r="A353" t="s">
        <v>1029</v>
      </c>
      <c r="B353" s="5" t="s">
        <v>505</v>
      </c>
      <c r="C353" s="5" t="s">
        <v>151</v>
      </c>
      <c r="D353" s="5" t="str">
        <f>"Q"&amp;ROUNDUP(MONTH(B353)/3,0)</f>
        <v>Q2</v>
      </c>
      <c r="E353" t="s">
        <v>23</v>
      </c>
      <c r="F353" t="s">
        <v>56</v>
      </c>
      <c r="G353" t="s">
        <v>66</v>
      </c>
      <c r="H353" t="s">
        <v>45</v>
      </c>
      <c r="I353" t="s">
        <v>8</v>
      </c>
      <c r="J353" s="4">
        <v>8</v>
      </c>
      <c r="K353" s="3">
        <v>895.14</v>
      </c>
      <c r="L353">
        <v>15</v>
      </c>
      <c r="M353" s="2">
        <v>6086.95</v>
      </c>
      <c r="N353" s="2">
        <v>4455.28</v>
      </c>
      <c r="O353" s="2">
        <v>1631.67</v>
      </c>
      <c r="P353" s="1">
        <f>(Sales_Data[[#This Row],[Profit]]/Sales_Data[[#This Row],[Revenue]])</f>
        <v>0.26806035863609856</v>
      </c>
    </row>
    <row r="354" spans="1:16" x14ac:dyDescent="0.35">
      <c r="A354" t="s">
        <v>1028</v>
      </c>
      <c r="B354" s="5" t="s">
        <v>796</v>
      </c>
      <c r="C354" s="5" t="s">
        <v>151</v>
      </c>
      <c r="D354" s="5" t="str">
        <f>"Q"&amp;ROUNDUP(MONTH(B354)/3,0)</f>
        <v>Q2</v>
      </c>
      <c r="E354" t="s">
        <v>4</v>
      </c>
      <c r="F354" t="s">
        <v>56</v>
      </c>
      <c r="G354" t="s">
        <v>108</v>
      </c>
      <c r="H354" t="s">
        <v>1</v>
      </c>
      <c r="I354" t="s">
        <v>0</v>
      </c>
      <c r="J354" s="4">
        <v>3</v>
      </c>
      <c r="K354" s="3">
        <v>525.01</v>
      </c>
      <c r="L354">
        <v>15</v>
      </c>
      <c r="M354" s="2">
        <v>1338.78</v>
      </c>
      <c r="N354" s="2">
        <v>942.37</v>
      </c>
      <c r="O354" s="2">
        <v>396.41</v>
      </c>
      <c r="P354" s="1">
        <f>(Sales_Data[[#This Row],[Profit]]/Sales_Data[[#This Row],[Revenue]])</f>
        <v>0.29609793991544542</v>
      </c>
    </row>
    <row r="355" spans="1:16" x14ac:dyDescent="0.35">
      <c r="A355" t="s">
        <v>1027</v>
      </c>
      <c r="B355" s="5" t="s">
        <v>152</v>
      </c>
      <c r="C355" s="5" t="s">
        <v>151</v>
      </c>
      <c r="D355" s="5" t="str">
        <f>"Q"&amp;ROUNDUP(MONTH(B355)/3,0)</f>
        <v>Q2</v>
      </c>
      <c r="E355" t="s">
        <v>4</v>
      </c>
      <c r="F355" t="s">
        <v>52</v>
      </c>
      <c r="G355" t="s">
        <v>95</v>
      </c>
      <c r="H355" t="s">
        <v>9</v>
      </c>
      <c r="I355" t="s">
        <v>8</v>
      </c>
      <c r="J355" s="4">
        <v>8</v>
      </c>
      <c r="K355" s="3">
        <v>54931.56</v>
      </c>
      <c r="L355">
        <v>15</v>
      </c>
      <c r="M355" s="2">
        <v>373534.61</v>
      </c>
      <c r="N355" s="2">
        <v>299966.84999999998</v>
      </c>
      <c r="O355" s="2">
        <v>73567.759999999995</v>
      </c>
      <c r="P355" s="1">
        <f>(Sales_Data[[#This Row],[Profit]]/Sales_Data[[#This Row],[Revenue]])</f>
        <v>0.19695031740164584</v>
      </c>
    </row>
    <row r="356" spans="1:16" x14ac:dyDescent="0.35">
      <c r="A356" t="s">
        <v>1026</v>
      </c>
      <c r="B356" s="5" t="s">
        <v>499</v>
      </c>
      <c r="C356" s="5" t="s">
        <v>151</v>
      </c>
      <c r="D356" s="5" t="str">
        <f>"Q"&amp;ROUNDUP(MONTH(B356)/3,0)</f>
        <v>Q2</v>
      </c>
      <c r="E356" t="s">
        <v>16</v>
      </c>
      <c r="F356" t="s">
        <v>56</v>
      </c>
      <c r="G356" t="s">
        <v>124</v>
      </c>
      <c r="H356" t="s">
        <v>14</v>
      </c>
      <c r="I356" t="s">
        <v>8</v>
      </c>
      <c r="J356" s="4">
        <v>8</v>
      </c>
      <c r="K356" s="3">
        <v>2442.4699999999998</v>
      </c>
      <c r="L356">
        <v>15</v>
      </c>
      <c r="M356" s="2">
        <v>16608.8</v>
      </c>
      <c r="N356" s="2">
        <v>11703.5</v>
      </c>
      <c r="O356" s="2">
        <v>4905.3</v>
      </c>
      <c r="P356" s="1">
        <f>(Sales_Data[[#This Row],[Profit]]/Sales_Data[[#This Row],[Revenue]])</f>
        <v>0.29534343239728339</v>
      </c>
    </row>
    <row r="357" spans="1:16" x14ac:dyDescent="0.35">
      <c r="A357" t="s">
        <v>1025</v>
      </c>
      <c r="B357" s="5" t="s">
        <v>1024</v>
      </c>
      <c r="C357" s="5" t="s">
        <v>125</v>
      </c>
      <c r="D357" s="5" t="str">
        <f>"Q"&amp;ROUNDUP(MONTH(B357)/3,0)</f>
        <v>Q4</v>
      </c>
      <c r="E357" t="s">
        <v>16</v>
      </c>
      <c r="F357" t="s">
        <v>22</v>
      </c>
      <c r="G357" t="s">
        <v>68</v>
      </c>
      <c r="H357" t="s">
        <v>34</v>
      </c>
      <c r="I357" t="s">
        <v>8</v>
      </c>
      <c r="J357" s="4">
        <v>5</v>
      </c>
      <c r="K357" s="3">
        <v>27264.14</v>
      </c>
      <c r="L357">
        <v>15</v>
      </c>
      <c r="M357" s="2">
        <v>115872.6</v>
      </c>
      <c r="N357" s="2">
        <v>76020.38</v>
      </c>
      <c r="O357" s="2">
        <v>39852.22</v>
      </c>
      <c r="P357" s="1">
        <f>(Sales_Data[[#This Row],[Profit]]/Sales_Data[[#This Row],[Revenue]])</f>
        <v>0.34393135219197635</v>
      </c>
    </row>
    <row r="358" spans="1:16" x14ac:dyDescent="0.35">
      <c r="A358" t="s">
        <v>1023</v>
      </c>
      <c r="B358" s="5" t="s">
        <v>482</v>
      </c>
      <c r="C358" s="5" t="s">
        <v>125</v>
      </c>
      <c r="D358" s="5" t="str">
        <f>"Q"&amp;ROUNDUP(MONTH(B358)/3,0)</f>
        <v>Q4</v>
      </c>
      <c r="E358" t="s">
        <v>36</v>
      </c>
      <c r="F358" t="s">
        <v>11</v>
      </c>
      <c r="G358" t="s">
        <v>255</v>
      </c>
      <c r="H358" t="s">
        <v>111</v>
      </c>
      <c r="I358" t="s">
        <v>49</v>
      </c>
      <c r="J358" s="4">
        <v>3</v>
      </c>
      <c r="K358" s="3">
        <v>8276.5499999999993</v>
      </c>
      <c r="L358">
        <v>15</v>
      </c>
      <c r="M358" s="2">
        <v>21105.200000000001</v>
      </c>
      <c r="N358" s="2">
        <v>16113.19</v>
      </c>
      <c r="O358" s="2">
        <v>4992.01</v>
      </c>
      <c r="P358" s="1">
        <f>(Sales_Data[[#This Row],[Profit]]/Sales_Data[[#This Row],[Revenue]])</f>
        <v>0.2365298599397305</v>
      </c>
    </row>
    <row r="359" spans="1:16" x14ac:dyDescent="0.35">
      <c r="A359" t="s">
        <v>1022</v>
      </c>
      <c r="B359" s="5" t="s">
        <v>774</v>
      </c>
      <c r="C359" s="5" t="s">
        <v>125</v>
      </c>
      <c r="D359" s="5" t="str">
        <f>"Q"&amp;ROUNDUP(MONTH(B359)/3,0)</f>
        <v>Q4</v>
      </c>
      <c r="E359" t="s">
        <v>23</v>
      </c>
      <c r="F359" t="s">
        <v>11</v>
      </c>
      <c r="G359" t="s">
        <v>82</v>
      </c>
      <c r="H359" t="s">
        <v>1</v>
      </c>
      <c r="I359" t="s">
        <v>0</v>
      </c>
      <c r="J359" s="4">
        <v>6</v>
      </c>
      <c r="K359" s="3">
        <v>455.89</v>
      </c>
      <c r="L359">
        <v>15</v>
      </c>
      <c r="M359" s="2">
        <v>2325.04</v>
      </c>
      <c r="N359" s="2">
        <v>1872.55</v>
      </c>
      <c r="O359" s="2">
        <v>452.49</v>
      </c>
      <c r="P359" s="1">
        <f>(Sales_Data[[#This Row],[Profit]]/Sales_Data[[#This Row],[Revenue]])</f>
        <v>0.19461600660633796</v>
      </c>
    </row>
    <row r="360" spans="1:16" x14ac:dyDescent="0.35">
      <c r="A360" t="s">
        <v>1021</v>
      </c>
      <c r="B360" s="5" t="s">
        <v>135</v>
      </c>
      <c r="C360" s="5" t="s">
        <v>125</v>
      </c>
      <c r="D360" s="5" t="str">
        <f>"Q"&amp;ROUNDUP(MONTH(B360)/3,0)</f>
        <v>Q4</v>
      </c>
      <c r="E360" t="s">
        <v>23</v>
      </c>
      <c r="F360" t="s">
        <v>11</v>
      </c>
      <c r="G360" t="s">
        <v>79</v>
      </c>
      <c r="H360" t="s">
        <v>111</v>
      </c>
      <c r="I360" t="s">
        <v>49</v>
      </c>
      <c r="J360" s="4">
        <v>3</v>
      </c>
      <c r="K360" s="3">
        <v>7639.83</v>
      </c>
      <c r="L360">
        <v>15</v>
      </c>
      <c r="M360" s="2">
        <v>19481.57</v>
      </c>
      <c r="N360" s="2">
        <v>11475.99</v>
      </c>
      <c r="O360" s="2">
        <v>8005.58</v>
      </c>
      <c r="P360" s="1">
        <f>(Sales_Data[[#This Row],[Profit]]/Sales_Data[[#This Row],[Revenue]])</f>
        <v>0.41093094653049012</v>
      </c>
    </row>
    <row r="361" spans="1:16" x14ac:dyDescent="0.35">
      <c r="A361" t="s">
        <v>1020</v>
      </c>
      <c r="B361" s="5" t="s">
        <v>789</v>
      </c>
      <c r="C361" s="5" t="s">
        <v>125</v>
      </c>
      <c r="D361" s="5" t="str">
        <f>"Q"&amp;ROUNDUP(MONTH(B361)/3,0)</f>
        <v>Q4</v>
      </c>
      <c r="E361" t="s">
        <v>4</v>
      </c>
      <c r="F361" t="s">
        <v>52</v>
      </c>
      <c r="G361" t="s">
        <v>85</v>
      </c>
      <c r="H361" t="s">
        <v>34</v>
      </c>
      <c r="I361" t="s">
        <v>8</v>
      </c>
      <c r="J361" s="4">
        <v>2</v>
      </c>
      <c r="K361" s="3">
        <v>24613.21</v>
      </c>
      <c r="L361">
        <v>15</v>
      </c>
      <c r="M361" s="2">
        <v>41842.46</v>
      </c>
      <c r="N361" s="2">
        <v>33818.519999999997</v>
      </c>
      <c r="O361" s="2">
        <v>8023.94</v>
      </c>
      <c r="P361" s="1">
        <f>(Sales_Data[[#This Row],[Profit]]/Sales_Data[[#This Row],[Revenue]])</f>
        <v>0.1917654937114118</v>
      </c>
    </row>
    <row r="362" spans="1:16" x14ac:dyDescent="0.35">
      <c r="A362" t="s">
        <v>1019</v>
      </c>
      <c r="B362" s="5" t="s">
        <v>774</v>
      </c>
      <c r="C362" s="5" t="s">
        <v>125</v>
      </c>
      <c r="D362" s="5" t="str">
        <f>"Q"&amp;ROUNDUP(MONTH(B362)/3,0)</f>
        <v>Q4</v>
      </c>
      <c r="E362" t="s">
        <v>4</v>
      </c>
      <c r="F362" t="s">
        <v>56</v>
      </c>
      <c r="G362" t="s">
        <v>137</v>
      </c>
      <c r="H362" t="s">
        <v>111</v>
      </c>
      <c r="I362" t="s">
        <v>49</v>
      </c>
      <c r="J362" s="4">
        <v>4</v>
      </c>
      <c r="K362" s="3">
        <v>7877.63</v>
      </c>
      <c r="L362">
        <v>15</v>
      </c>
      <c r="M362" s="2">
        <v>26783.94</v>
      </c>
      <c r="N362" s="2">
        <v>20216.87</v>
      </c>
      <c r="O362" s="2">
        <v>6567.07</v>
      </c>
      <c r="P362" s="1">
        <f>(Sales_Data[[#This Row],[Profit]]/Sales_Data[[#This Row],[Revenue]])</f>
        <v>0.24518685451057612</v>
      </c>
    </row>
    <row r="363" spans="1:16" x14ac:dyDescent="0.35">
      <c r="A363" t="s">
        <v>1018</v>
      </c>
      <c r="B363" s="5" t="s">
        <v>1017</v>
      </c>
      <c r="C363" s="5" t="s">
        <v>125</v>
      </c>
      <c r="D363" s="5" t="str">
        <f>"Q"&amp;ROUNDUP(MONTH(B363)/3,0)</f>
        <v>Q4</v>
      </c>
      <c r="E363" t="s">
        <v>4</v>
      </c>
      <c r="F363" t="s">
        <v>52</v>
      </c>
      <c r="G363" t="s">
        <v>118</v>
      </c>
      <c r="H363" t="s">
        <v>59</v>
      </c>
      <c r="I363" t="s">
        <v>0</v>
      </c>
      <c r="J363" s="4">
        <v>2</v>
      </c>
      <c r="K363" s="3">
        <v>1434.2</v>
      </c>
      <c r="L363">
        <v>15</v>
      </c>
      <c r="M363" s="2">
        <v>2438.14</v>
      </c>
      <c r="N363" s="2">
        <v>1401.53</v>
      </c>
      <c r="O363" s="2">
        <v>1036.6099999999999</v>
      </c>
      <c r="P363" s="1">
        <f>(Sales_Data[[#This Row],[Profit]]/Sales_Data[[#This Row],[Revenue]])</f>
        <v>0.42516426456233031</v>
      </c>
    </row>
    <row r="364" spans="1:16" x14ac:dyDescent="0.35">
      <c r="A364" t="s">
        <v>1016</v>
      </c>
      <c r="B364" s="5" t="s">
        <v>135</v>
      </c>
      <c r="C364" s="5" t="s">
        <v>125</v>
      </c>
      <c r="D364" s="5" t="str">
        <f>"Q"&amp;ROUNDUP(MONTH(B364)/3,0)</f>
        <v>Q4</v>
      </c>
      <c r="E364" t="s">
        <v>36</v>
      </c>
      <c r="F364" t="s">
        <v>63</v>
      </c>
      <c r="G364" t="s">
        <v>128</v>
      </c>
      <c r="H364" t="s">
        <v>59</v>
      </c>
      <c r="I364" t="s">
        <v>0</v>
      </c>
      <c r="J364" s="4">
        <v>4</v>
      </c>
      <c r="K364" s="3">
        <v>1372.09</v>
      </c>
      <c r="L364">
        <v>15</v>
      </c>
      <c r="M364" s="2">
        <v>4665.1099999999997</v>
      </c>
      <c r="N364" s="2">
        <v>3919.16</v>
      </c>
      <c r="O364" s="2">
        <v>745.95</v>
      </c>
      <c r="P364" s="1">
        <f>(Sales_Data[[#This Row],[Profit]]/Sales_Data[[#This Row],[Revenue]])</f>
        <v>0.15989976656498991</v>
      </c>
    </row>
    <row r="365" spans="1:16" x14ac:dyDescent="0.35">
      <c r="A365" t="s">
        <v>1015</v>
      </c>
      <c r="B365" s="5" t="s">
        <v>131</v>
      </c>
      <c r="C365" s="5" t="s">
        <v>125</v>
      </c>
      <c r="D365" s="5" t="str">
        <f>"Q"&amp;ROUNDUP(MONTH(B365)/3,0)</f>
        <v>Q4</v>
      </c>
      <c r="E365" t="s">
        <v>23</v>
      </c>
      <c r="F365" t="s">
        <v>11</v>
      </c>
      <c r="G365" t="s">
        <v>309</v>
      </c>
      <c r="H365" t="s">
        <v>59</v>
      </c>
      <c r="I365" t="s">
        <v>0</v>
      </c>
      <c r="J365" s="4">
        <v>1</v>
      </c>
      <c r="K365" s="3">
        <v>1381.83</v>
      </c>
      <c r="L365">
        <v>15</v>
      </c>
      <c r="M365" s="2">
        <v>1174.56</v>
      </c>
      <c r="N365" s="2">
        <v>819.92</v>
      </c>
      <c r="O365" s="2">
        <v>354.64</v>
      </c>
      <c r="P365" s="1">
        <f>(Sales_Data[[#This Row],[Profit]]/Sales_Data[[#This Row],[Revenue]])</f>
        <v>0.3019343413703855</v>
      </c>
    </row>
    <row r="366" spans="1:16" x14ac:dyDescent="0.35">
      <c r="A366" t="s">
        <v>1014</v>
      </c>
      <c r="B366" s="5" t="s">
        <v>482</v>
      </c>
      <c r="C366" s="5" t="s">
        <v>125</v>
      </c>
      <c r="D366" s="5" t="str">
        <f>"Q"&amp;ROUNDUP(MONTH(B366)/3,0)</f>
        <v>Q4</v>
      </c>
      <c r="E366" t="s">
        <v>36</v>
      </c>
      <c r="F366" t="s">
        <v>56</v>
      </c>
      <c r="G366" t="s">
        <v>255</v>
      </c>
      <c r="H366" t="s">
        <v>50</v>
      </c>
      <c r="I366" t="s">
        <v>49</v>
      </c>
      <c r="J366" s="4">
        <v>3</v>
      </c>
      <c r="K366" s="3">
        <v>4781.82</v>
      </c>
      <c r="L366">
        <v>15</v>
      </c>
      <c r="M366" s="2">
        <v>12193.64</v>
      </c>
      <c r="N366" s="2">
        <v>8869.5499999999993</v>
      </c>
      <c r="O366" s="2">
        <v>3324.09</v>
      </c>
      <c r="P366" s="1">
        <f>(Sales_Data[[#This Row],[Profit]]/Sales_Data[[#This Row],[Revenue]])</f>
        <v>0.27260850738581754</v>
      </c>
    </row>
    <row r="367" spans="1:16" x14ac:dyDescent="0.35">
      <c r="A367" t="s">
        <v>1013</v>
      </c>
      <c r="B367" s="5" t="s">
        <v>131</v>
      </c>
      <c r="C367" s="5" t="s">
        <v>125</v>
      </c>
      <c r="D367" s="5" t="str">
        <f>"Q"&amp;ROUNDUP(MONTH(B367)/3,0)</f>
        <v>Q4</v>
      </c>
      <c r="E367" t="s">
        <v>36</v>
      </c>
      <c r="F367" t="s">
        <v>3</v>
      </c>
      <c r="G367" t="s">
        <v>294</v>
      </c>
      <c r="H367" t="s">
        <v>111</v>
      </c>
      <c r="I367" t="s">
        <v>49</v>
      </c>
      <c r="J367" s="4">
        <v>8</v>
      </c>
      <c r="K367" s="3">
        <v>7404.4</v>
      </c>
      <c r="L367">
        <v>15</v>
      </c>
      <c r="M367" s="2">
        <v>50349.919999999998</v>
      </c>
      <c r="N367" s="2">
        <v>33710.730000000003</v>
      </c>
      <c r="O367" s="2">
        <v>16639.189999999999</v>
      </c>
      <c r="P367" s="1">
        <f>(Sales_Data[[#This Row],[Profit]]/Sales_Data[[#This Row],[Revenue]])</f>
        <v>0.33047103153292001</v>
      </c>
    </row>
    <row r="368" spans="1:16" x14ac:dyDescent="0.35">
      <c r="A368" t="s">
        <v>1012</v>
      </c>
      <c r="B368" s="5" t="s">
        <v>126</v>
      </c>
      <c r="C368" s="5" t="s">
        <v>125</v>
      </c>
      <c r="D368" s="5" t="str">
        <f>"Q"&amp;ROUNDUP(MONTH(B368)/3,0)</f>
        <v>Q4</v>
      </c>
      <c r="E368" t="s">
        <v>16</v>
      </c>
      <c r="F368" t="s">
        <v>11</v>
      </c>
      <c r="G368" t="s">
        <v>15</v>
      </c>
      <c r="H368" t="s">
        <v>34</v>
      </c>
      <c r="I368" t="s">
        <v>8</v>
      </c>
      <c r="J368" s="4">
        <v>1</v>
      </c>
      <c r="K368" s="3">
        <v>22607.8</v>
      </c>
      <c r="L368">
        <v>15</v>
      </c>
      <c r="M368" s="2">
        <v>19216.63</v>
      </c>
      <c r="N368" s="2">
        <v>13422.18</v>
      </c>
      <c r="O368" s="2">
        <v>5794.45</v>
      </c>
      <c r="P368" s="1">
        <f>(Sales_Data[[#This Row],[Profit]]/Sales_Data[[#This Row],[Revenue]])</f>
        <v>0.30153309919585275</v>
      </c>
    </row>
    <row r="369" spans="1:16" x14ac:dyDescent="0.35">
      <c r="A369" t="s">
        <v>1011</v>
      </c>
      <c r="B369" s="5" t="s">
        <v>789</v>
      </c>
      <c r="C369" s="5" t="s">
        <v>125</v>
      </c>
      <c r="D369" s="5" t="str">
        <f>"Q"&amp;ROUNDUP(MONTH(B369)/3,0)</f>
        <v>Q4</v>
      </c>
      <c r="E369" t="s">
        <v>36</v>
      </c>
      <c r="F369" t="s">
        <v>22</v>
      </c>
      <c r="G369" t="s">
        <v>39</v>
      </c>
      <c r="H369" t="s">
        <v>45</v>
      </c>
      <c r="I369" t="s">
        <v>8</v>
      </c>
      <c r="J369" s="4">
        <v>5</v>
      </c>
      <c r="K369" s="3">
        <v>829.39</v>
      </c>
      <c r="L369">
        <v>15</v>
      </c>
      <c r="M369" s="2">
        <v>3524.91</v>
      </c>
      <c r="N369" s="2">
        <v>2398.0700000000002</v>
      </c>
      <c r="O369" s="2">
        <v>1126.8399999999999</v>
      </c>
      <c r="P369" s="1">
        <f>(Sales_Data[[#This Row],[Profit]]/Sales_Data[[#This Row],[Revenue]])</f>
        <v>0.31967908400498168</v>
      </c>
    </row>
    <row r="370" spans="1:16" x14ac:dyDescent="0.35">
      <c r="A370" t="s">
        <v>1010</v>
      </c>
      <c r="B370" s="5" t="s">
        <v>482</v>
      </c>
      <c r="C370" s="5" t="s">
        <v>125</v>
      </c>
      <c r="D370" s="5" t="str">
        <f>"Q"&amp;ROUNDUP(MONTH(B370)/3,0)</f>
        <v>Q4</v>
      </c>
      <c r="E370" t="s">
        <v>36</v>
      </c>
      <c r="F370" t="s">
        <v>3</v>
      </c>
      <c r="G370" t="s">
        <v>85</v>
      </c>
      <c r="H370" t="s">
        <v>59</v>
      </c>
      <c r="I370" t="s">
        <v>0</v>
      </c>
      <c r="J370" s="4">
        <v>6</v>
      </c>
      <c r="K370" s="3">
        <v>1550.04</v>
      </c>
      <c r="L370">
        <v>15</v>
      </c>
      <c r="M370" s="2">
        <v>7905.2</v>
      </c>
      <c r="N370" s="2">
        <v>4617.4799999999996</v>
      </c>
      <c r="O370" s="2">
        <v>3287.72</v>
      </c>
      <c r="P370" s="1">
        <f>(Sales_Data[[#This Row],[Profit]]/Sales_Data[[#This Row],[Revenue]])</f>
        <v>0.41589333603197892</v>
      </c>
    </row>
    <row r="371" spans="1:16" x14ac:dyDescent="0.35">
      <c r="A371" t="s">
        <v>1009</v>
      </c>
      <c r="B371" s="5" t="s">
        <v>148</v>
      </c>
      <c r="C371" s="5" t="s">
        <v>125</v>
      </c>
      <c r="D371" s="5" t="str">
        <f>"Q"&amp;ROUNDUP(MONTH(B371)/3,0)</f>
        <v>Q4</v>
      </c>
      <c r="E371" t="s">
        <v>16</v>
      </c>
      <c r="F371" t="s">
        <v>22</v>
      </c>
      <c r="G371" t="s">
        <v>112</v>
      </c>
      <c r="H371" t="s">
        <v>14</v>
      </c>
      <c r="I371" t="s">
        <v>8</v>
      </c>
      <c r="J371" s="4">
        <v>3</v>
      </c>
      <c r="K371" s="3">
        <v>2495.0700000000002</v>
      </c>
      <c r="L371">
        <v>15</v>
      </c>
      <c r="M371" s="2">
        <v>6362.43</v>
      </c>
      <c r="N371" s="2">
        <v>4495.13</v>
      </c>
      <c r="O371" s="2">
        <v>1867.3</v>
      </c>
      <c r="P371" s="1">
        <f>(Sales_Data[[#This Row],[Profit]]/Sales_Data[[#This Row],[Revenue]])</f>
        <v>0.29348849417596734</v>
      </c>
    </row>
    <row r="372" spans="1:16" x14ac:dyDescent="0.35">
      <c r="A372" t="s">
        <v>1008</v>
      </c>
      <c r="B372" s="5" t="s">
        <v>774</v>
      </c>
      <c r="C372" s="5" t="s">
        <v>125</v>
      </c>
      <c r="D372" s="5" t="str">
        <f>"Q"&amp;ROUNDUP(MONTH(B372)/3,0)</f>
        <v>Q4</v>
      </c>
      <c r="E372" t="s">
        <v>4</v>
      </c>
      <c r="F372" t="s">
        <v>56</v>
      </c>
      <c r="G372" t="s">
        <v>238</v>
      </c>
      <c r="H372" t="s">
        <v>1</v>
      </c>
      <c r="I372" t="s">
        <v>0</v>
      </c>
      <c r="J372" s="4">
        <v>1</v>
      </c>
      <c r="K372" s="3">
        <v>487.08</v>
      </c>
      <c r="L372">
        <v>15</v>
      </c>
      <c r="M372" s="2">
        <v>414.02</v>
      </c>
      <c r="N372" s="2">
        <v>258.27</v>
      </c>
      <c r="O372" s="2">
        <v>155.75</v>
      </c>
      <c r="P372" s="1">
        <f>(Sales_Data[[#This Row],[Profit]]/Sales_Data[[#This Row],[Revenue]])</f>
        <v>0.37618955606009374</v>
      </c>
    </row>
    <row r="373" spans="1:16" x14ac:dyDescent="0.35">
      <c r="A373" t="s">
        <v>1007</v>
      </c>
      <c r="B373" s="5" t="s">
        <v>485</v>
      </c>
      <c r="C373" s="5" t="s">
        <v>125</v>
      </c>
      <c r="D373" s="5" t="str">
        <f>"Q"&amp;ROUNDUP(MONTH(B373)/3,0)</f>
        <v>Q4</v>
      </c>
      <c r="E373" t="s">
        <v>4</v>
      </c>
      <c r="F373" t="s">
        <v>52</v>
      </c>
      <c r="G373" t="s">
        <v>214</v>
      </c>
      <c r="H373" t="s">
        <v>14</v>
      </c>
      <c r="I373" t="s">
        <v>8</v>
      </c>
      <c r="J373" s="4">
        <v>7</v>
      </c>
      <c r="K373" s="3">
        <v>2396.7800000000002</v>
      </c>
      <c r="L373">
        <v>15</v>
      </c>
      <c r="M373" s="2">
        <v>14260.84</v>
      </c>
      <c r="N373" s="2">
        <v>9925.42</v>
      </c>
      <c r="O373" s="2">
        <v>4335.42</v>
      </c>
      <c r="P373" s="1">
        <f>(Sales_Data[[#This Row],[Profit]]/Sales_Data[[#This Row],[Revenue]])</f>
        <v>0.30400874001811956</v>
      </c>
    </row>
    <row r="374" spans="1:16" x14ac:dyDescent="0.35">
      <c r="A374" t="s">
        <v>1006</v>
      </c>
      <c r="B374" s="5" t="s">
        <v>745</v>
      </c>
      <c r="C374" s="5" t="s">
        <v>72</v>
      </c>
      <c r="D374" s="5" t="str">
        <f>"Q"&amp;ROUNDUP(MONTH(B374)/3,0)</f>
        <v>Q4</v>
      </c>
      <c r="E374" t="s">
        <v>4</v>
      </c>
      <c r="F374" t="s">
        <v>11</v>
      </c>
      <c r="G374" t="s">
        <v>264</v>
      </c>
      <c r="H374" t="s">
        <v>1</v>
      </c>
      <c r="I374" t="s">
        <v>0</v>
      </c>
      <c r="J374" s="4">
        <v>7</v>
      </c>
      <c r="K374" s="3">
        <v>526.66</v>
      </c>
      <c r="L374">
        <v>15</v>
      </c>
      <c r="M374" s="2">
        <v>3133.63</v>
      </c>
      <c r="N374" s="2">
        <v>2328</v>
      </c>
      <c r="O374" s="2">
        <v>805.63</v>
      </c>
      <c r="P374" s="1">
        <f>(Sales_Data[[#This Row],[Profit]]/Sales_Data[[#This Row],[Revenue]])</f>
        <v>0.25709161579382378</v>
      </c>
    </row>
    <row r="375" spans="1:16" x14ac:dyDescent="0.35">
      <c r="A375" t="s">
        <v>1005</v>
      </c>
      <c r="B375" s="5" t="s">
        <v>449</v>
      </c>
      <c r="C375" s="5" t="s">
        <v>72</v>
      </c>
      <c r="D375" s="5" t="str">
        <f>"Q"&amp;ROUNDUP(MONTH(B375)/3,0)</f>
        <v>Q4</v>
      </c>
      <c r="E375" t="s">
        <v>23</v>
      </c>
      <c r="F375" t="s">
        <v>52</v>
      </c>
      <c r="G375" t="s">
        <v>124</v>
      </c>
      <c r="H375" t="s">
        <v>45</v>
      </c>
      <c r="I375" t="s">
        <v>8</v>
      </c>
      <c r="J375" s="4">
        <v>7</v>
      </c>
      <c r="K375" s="3">
        <v>870.02</v>
      </c>
      <c r="L375">
        <v>15</v>
      </c>
      <c r="M375" s="2">
        <v>5176.62</v>
      </c>
      <c r="N375" s="2">
        <v>3799.85</v>
      </c>
      <c r="O375" s="2">
        <v>1376.77</v>
      </c>
      <c r="P375" s="1">
        <f>(Sales_Data[[#This Row],[Profit]]/Sales_Data[[#This Row],[Revenue]])</f>
        <v>0.26595925526695025</v>
      </c>
    </row>
    <row r="376" spans="1:16" x14ac:dyDescent="0.35">
      <c r="A376" t="s">
        <v>1004</v>
      </c>
      <c r="B376" s="5" t="s">
        <v>90</v>
      </c>
      <c r="C376" s="5" t="s">
        <v>72</v>
      </c>
      <c r="D376" s="5" t="str">
        <f>"Q"&amp;ROUNDUP(MONTH(B376)/3,0)</f>
        <v>Q4</v>
      </c>
      <c r="E376" t="s">
        <v>23</v>
      </c>
      <c r="F376" t="s">
        <v>11</v>
      </c>
      <c r="G376" t="s">
        <v>39</v>
      </c>
      <c r="H376" t="s">
        <v>20</v>
      </c>
      <c r="I376" t="s">
        <v>19</v>
      </c>
      <c r="J376" s="4">
        <v>1</v>
      </c>
      <c r="K376" s="3">
        <v>30.49</v>
      </c>
      <c r="L376">
        <v>15</v>
      </c>
      <c r="M376" s="2">
        <v>25.92</v>
      </c>
      <c r="N376" s="2">
        <v>22.03</v>
      </c>
      <c r="O376" s="2">
        <v>3.89</v>
      </c>
      <c r="P376" s="1">
        <f>(Sales_Data[[#This Row],[Profit]]/Sales_Data[[#This Row],[Revenue]])</f>
        <v>0.15007716049382716</v>
      </c>
    </row>
    <row r="377" spans="1:16" x14ac:dyDescent="0.35">
      <c r="A377" t="s">
        <v>1003</v>
      </c>
      <c r="B377" s="5" t="s">
        <v>119</v>
      </c>
      <c r="C377" s="5" t="s">
        <v>72</v>
      </c>
      <c r="D377" s="5" t="str">
        <f>"Q"&amp;ROUNDUP(MONTH(B377)/3,0)</f>
        <v>Q4</v>
      </c>
      <c r="E377" t="s">
        <v>4</v>
      </c>
      <c r="F377" t="s">
        <v>11</v>
      </c>
      <c r="G377" t="s">
        <v>166</v>
      </c>
      <c r="H377" t="s">
        <v>50</v>
      </c>
      <c r="I377" t="s">
        <v>49</v>
      </c>
      <c r="J377" s="4">
        <v>2</v>
      </c>
      <c r="K377" s="3">
        <v>4494.97</v>
      </c>
      <c r="L377">
        <v>15</v>
      </c>
      <c r="M377" s="2">
        <v>7641.45</v>
      </c>
      <c r="N377" s="2">
        <v>6174.4</v>
      </c>
      <c r="O377" s="2">
        <v>1467.05</v>
      </c>
      <c r="P377" s="1">
        <f>(Sales_Data[[#This Row],[Profit]]/Sales_Data[[#This Row],[Revenue]])</f>
        <v>0.19198581421065375</v>
      </c>
    </row>
    <row r="378" spans="1:16" x14ac:dyDescent="0.35">
      <c r="A378" t="s">
        <v>1002</v>
      </c>
      <c r="B378" s="5" t="s">
        <v>1001</v>
      </c>
      <c r="C378" s="5" t="s">
        <v>72</v>
      </c>
      <c r="D378" s="5" t="str">
        <f>"Q"&amp;ROUNDUP(MONTH(B378)/3,0)</f>
        <v>Q4</v>
      </c>
      <c r="E378" t="s">
        <v>36</v>
      </c>
      <c r="F378" t="s">
        <v>11</v>
      </c>
      <c r="G378" t="s">
        <v>55</v>
      </c>
      <c r="H378" t="s">
        <v>9</v>
      </c>
      <c r="I378" t="s">
        <v>8</v>
      </c>
      <c r="J378" s="4">
        <v>5</v>
      </c>
      <c r="K378" s="3">
        <v>57861.36</v>
      </c>
      <c r="L378">
        <v>15</v>
      </c>
      <c r="M378" s="2">
        <v>245910.78</v>
      </c>
      <c r="N378" s="2">
        <v>137944.54999999999</v>
      </c>
      <c r="O378" s="2">
        <v>107966.23</v>
      </c>
      <c r="P378" s="1">
        <f>(Sales_Data[[#This Row],[Profit]]/Sales_Data[[#This Row],[Revenue]])</f>
        <v>0.43904634843580259</v>
      </c>
    </row>
    <row r="379" spans="1:16" x14ac:dyDescent="0.35">
      <c r="A379" t="s">
        <v>1000</v>
      </c>
      <c r="B379" s="5" t="s">
        <v>452</v>
      </c>
      <c r="C379" s="5" t="s">
        <v>72</v>
      </c>
      <c r="D379" s="5" t="str">
        <f>"Q"&amp;ROUNDUP(MONTH(B379)/3,0)</f>
        <v>Q4</v>
      </c>
      <c r="E379" t="s">
        <v>36</v>
      </c>
      <c r="F379" t="s">
        <v>63</v>
      </c>
      <c r="G379" t="s">
        <v>108</v>
      </c>
      <c r="H379" t="s">
        <v>20</v>
      </c>
      <c r="I379" t="s">
        <v>19</v>
      </c>
      <c r="J379" s="4">
        <v>3</v>
      </c>
      <c r="K379" s="3">
        <v>30.55</v>
      </c>
      <c r="L379">
        <v>15</v>
      </c>
      <c r="M379" s="2">
        <v>77.900000000000006</v>
      </c>
      <c r="N379" s="2">
        <v>51.18</v>
      </c>
      <c r="O379" s="2">
        <v>26.72</v>
      </c>
      <c r="P379" s="1">
        <f>(Sales_Data[[#This Row],[Profit]]/Sales_Data[[#This Row],[Revenue]])</f>
        <v>0.34300385109114245</v>
      </c>
    </row>
    <row r="380" spans="1:16" x14ac:dyDescent="0.35">
      <c r="A380" t="s">
        <v>999</v>
      </c>
      <c r="B380" s="5" t="s">
        <v>122</v>
      </c>
      <c r="C380" s="5" t="s">
        <v>72</v>
      </c>
      <c r="D380" s="5" t="str">
        <f>"Q"&amp;ROUNDUP(MONTH(B380)/3,0)</f>
        <v>Q4</v>
      </c>
      <c r="E380" t="s">
        <v>16</v>
      </c>
      <c r="F380" t="s">
        <v>52</v>
      </c>
      <c r="G380" t="s">
        <v>79</v>
      </c>
      <c r="H380" t="s">
        <v>20</v>
      </c>
      <c r="I380" t="s">
        <v>19</v>
      </c>
      <c r="J380" s="4">
        <v>6</v>
      </c>
      <c r="K380" s="3">
        <v>27.88</v>
      </c>
      <c r="L380">
        <v>15</v>
      </c>
      <c r="M380" s="2">
        <v>142.19</v>
      </c>
      <c r="N380" s="2">
        <v>79.95</v>
      </c>
      <c r="O380" s="2">
        <v>62.24</v>
      </c>
      <c r="P380" s="1">
        <f>(Sales_Data[[#This Row],[Profit]]/Sales_Data[[#This Row],[Revenue]])</f>
        <v>0.43772417188269219</v>
      </c>
    </row>
    <row r="381" spans="1:16" x14ac:dyDescent="0.35">
      <c r="A381" t="s">
        <v>998</v>
      </c>
      <c r="B381" s="5" t="s">
        <v>106</v>
      </c>
      <c r="C381" s="5" t="s">
        <v>72</v>
      </c>
      <c r="D381" s="5" t="str">
        <f>"Q"&amp;ROUNDUP(MONTH(B381)/3,0)</f>
        <v>Q4</v>
      </c>
      <c r="E381" t="s">
        <v>16</v>
      </c>
      <c r="F381" t="s">
        <v>3</v>
      </c>
      <c r="G381" t="s">
        <v>309</v>
      </c>
      <c r="H381" t="s">
        <v>59</v>
      </c>
      <c r="I381" t="s">
        <v>0</v>
      </c>
      <c r="J381" s="4">
        <v>8</v>
      </c>
      <c r="K381" s="3">
        <v>1468.06</v>
      </c>
      <c r="L381">
        <v>15</v>
      </c>
      <c r="M381" s="2">
        <v>9982.81</v>
      </c>
      <c r="N381" s="2">
        <v>7352.1</v>
      </c>
      <c r="O381" s="2">
        <v>2630.71</v>
      </c>
      <c r="P381" s="1">
        <f>(Sales_Data[[#This Row],[Profit]]/Sales_Data[[#This Row],[Revenue]])</f>
        <v>0.26352399775213592</v>
      </c>
    </row>
    <row r="382" spans="1:16" x14ac:dyDescent="0.35">
      <c r="A382" t="s">
        <v>997</v>
      </c>
      <c r="B382" s="5" t="s">
        <v>106</v>
      </c>
      <c r="C382" s="5" t="s">
        <v>72</v>
      </c>
      <c r="D382" s="5" t="str">
        <f>"Q"&amp;ROUNDUP(MONTH(B382)/3,0)</f>
        <v>Q4</v>
      </c>
      <c r="E382" t="s">
        <v>4</v>
      </c>
      <c r="F382" t="s">
        <v>22</v>
      </c>
      <c r="G382" t="s">
        <v>108</v>
      </c>
      <c r="H382" t="s">
        <v>20</v>
      </c>
      <c r="I382" t="s">
        <v>19</v>
      </c>
      <c r="J382" s="4">
        <v>2</v>
      </c>
      <c r="K382" s="3">
        <v>32.92</v>
      </c>
      <c r="L382">
        <v>15</v>
      </c>
      <c r="M382" s="2">
        <v>55.96</v>
      </c>
      <c r="N382" s="2">
        <v>43.57</v>
      </c>
      <c r="O382" s="2">
        <v>12.39</v>
      </c>
      <c r="P382" s="1">
        <f>(Sales_Data[[#This Row],[Profit]]/Sales_Data[[#This Row],[Revenue]])</f>
        <v>0.22140814867762687</v>
      </c>
    </row>
    <row r="383" spans="1:16" x14ac:dyDescent="0.35">
      <c r="A383" t="s">
        <v>996</v>
      </c>
      <c r="B383" s="5" t="s">
        <v>454</v>
      </c>
      <c r="C383" s="5" t="s">
        <v>72</v>
      </c>
      <c r="D383" s="5" t="str">
        <f>"Q"&amp;ROUNDUP(MONTH(B383)/3,0)</f>
        <v>Q4</v>
      </c>
      <c r="E383" t="s">
        <v>36</v>
      </c>
      <c r="F383" t="s">
        <v>3</v>
      </c>
      <c r="G383" t="s">
        <v>42</v>
      </c>
      <c r="H383" t="s">
        <v>45</v>
      </c>
      <c r="I383" t="s">
        <v>8</v>
      </c>
      <c r="J383" s="4">
        <v>2</v>
      </c>
      <c r="K383" s="3">
        <v>871.86</v>
      </c>
      <c r="L383">
        <v>15</v>
      </c>
      <c r="M383" s="2">
        <v>1482.16</v>
      </c>
      <c r="N383" s="2">
        <v>965.35</v>
      </c>
      <c r="O383" s="2">
        <v>516.80999999999995</v>
      </c>
      <c r="P383" s="1">
        <f>(Sales_Data[[#This Row],[Profit]]/Sales_Data[[#This Row],[Revenue]])</f>
        <v>0.3486870513304906</v>
      </c>
    </row>
    <row r="384" spans="1:16" x14ac:dyDescent="0.35">
      <c r="A384" t="s">
        <v>995</v>
      </c>
      <c r="B384" s="5" t="s">
        <v>994</v>
      </c>
      <c r="C384" s="5" t="s">
        <v>72</v>
      </c>
      <c r="D384" s="5" t="str">
        <f>"Q"&amp;ROUNDUP(MONTH(B384)/3,0)</f>
        <v>Q4</v>
      </c>
      <c r="E384" t="s">
        <v>23</v>
      </c>
      <c r="F384" t="s">
        <v>56</v>
      </c>
      <c r="G384" t="s">
        <v>294</v>
      </c>
      <c r="H384" t="s">
        <v>45</v>
      </c>
      <c r="I384" t="s">
        <v>8</v>
      </c>
      <c r="J384" s="4">
        <v>6</v>
      </c>
      <c r="K384" s="3">
        <v>970.83</v>
      </c>
      <c r="L384">
        <v>15</v>
      </c>
      <c r="M384" s="2">
        <v>4951.2299999999996</v>
      </c>
      <c r="N384" s="2">
        <v>2779.44</v>
      </c>
      <c r="O384" s="2">
        <v>2171.79</v>
      </c>
      <c r="P384" s="1">
        <f>(Sales_Data[[#This Row],[Profit]]/Sales_Data[[#This Row],[Revenue]])</f>
        <v>0.43863646003114382</v>
      </c>
    </row>
    <row r="385" spans="1:16" x14ac:dyDescent="0.35">
      <c r="A385" t="s">
        <v>993</v>
      </c>
      <c r="B385" s="5" t="s">
        <v>109</v>
      </c>
      <c r="C385" s="5" t="s">
        <v>72</v>
      </c>
      <c r="D385" s="5" t="str">
        <f>"Q"&amp;ROUNDUP(MONTH(B385)/3,0)</f>
        <v>Q4</v>
      </c>
      <c r="E385" t="s">
        <v>23</v>
      </c>
      <c r="F385" t="s">
        <v>11</v>
      </c>
      <c r="G385" t="s">
        <v>79</v>
      </c>
      <c r="H385" t="s">
        <v>20</v>
      </c>
      <c r="I385" t="s">
        <v>19</v>
      </c>
      <c r="J385" s="4">
        <v>8</v>
      </c>
      <c r="K385" s="3">
        <v>31.07</v>
      </c>
      <c r="L385">
        <v>15</v>
      </c>
      <c r="M385" s="2">
        <v>211.28</v>
      </c>
      <c r="N385" s="2">
        <v>171.89</v>
      </c>
      <c r="O385" s="2">
        <v>39.39</v>
      </c>
      <c r="P385" s="1">
        <f>(Sales_Data[[#This Row],[Profit]]/Sales_Data[[#This Row],[Revenue]])</f>
        <v>0.18643506247633473</v>
      </c>
    </row>
    <row r="386" spans="1:16" x14ac:dyDescent="0.35">
      <c r="A386" t="s">
        <v>992</v>
      </c>
      <c r="B386" s="5" t="s">
        <v>106</v>
      </c>
      <c r="C386" s="5" t="s">
        <v>72</v>
      </c>
      <c r="D386" s="5" t="str">
        <f>"Q"&amp;ROUNDUP(MONTH(B386)/3,0)</f>
        <v>Q4</v>
      </c>
      <c r="E386" t="s">
        <v>36</v>
      </c>
      <c r="F386" t="s">
        <v>52</v>
      </c>
      <c r="G386" t="s">
        <v>174</v>
      </c>
      <c r="H386" t="s">
        <v>50</v>
      </c>
      <c r="I386" t="s">
        <v>49</v>
      </c>
      <c r="J386" s="4">
        <v>3</v>
      </c>
      <c r="K386" s="3">
        <v>4693.4799999999996</v>
      </c>
      <c r="L386">
        <v>15</v>
      </c>
      <c r="M386" s="2">
        <v>11968.37</v>
      </c>
      <c r="N386" s="2">
        <v>8380.1</v>
      </c>
      <c r="O386" s="2">
        <v>3588.27</v>
      </c>
      <c r="P386" s="1">
        <f>(Sales_Data[[#This Row],[Profit]]/Sales_Data[[#This Row],[Revenue]])</f>
        <v>0.29981275645722849</v>
      </c>
    </row>
    <row r="387" spans="1:16" x14ac:dyDescent="0.35">
      <c r="A387" t="s">
        <v>991</v>
      </c>
      <c r="B387" s="5" t="s">
        <v>983</v>
      </c>
      <c r="C387" s="5" t="s">
        <v>72</v>
      </c>
      <c r="D387" s="5" t="str">
        <f>"Q"&amp;ROUNDUP(MONTH(B387)/3,0)</f>
        <v>Q4</v>
      </c>
      <c r="E387" t="s">
        <v>23</v>
      </c>
      <c r="F387" t="s">
        <v>63</v>
      </c>
      <c r="G387" t="s">
        <v>309</v>
      </c>
      <c r="H387" t="s">
        <v>45</v>
      </c>
      <c r="I387" t="s">
        <v>8</v>
      </c>
      <c r="J387" s="4">
        <v>6</v>
      </c>
      <c r="K387" s="3">
        <v>908.75</v>
      </c>
      <c r="L387">
        <v>15</v>
      </c>
      <c r="M387" s="2">
        <v>4634.62</v>
      </c>
      <c r="N387" s="2">
        <v>3915.81</v>
      </c>
      <c r="O387" s="2">
        <v>718.81</v>
      </c>
      <c r="P387" s="1">
        <f>(Sales_Data[[#This Row],[Profit]]/Sales_Data[[#This Row],[Revenue]])</f>
        <v>0.15509577915773029</v>
      </c>
    </row>
    <row r="388" spans="1:16" x14ac:dyDescent="0.35">
      <c r="A388" t="s">
        <v>990</v>
      </c>
      <c r="B388" s="5" t="s">
        <v>449</v>
      </c>
      <c r="C388" s="5" t="s">
        <v>72</v>
      </c>
      <c r="D388" s="5" t="str">
        <f>"Q"&amp;ROUNDUP(MONTH(B388)/3,0)</f>
        <v>Q4</v>
      </c>
      <c r="E388" t="s">
        <v>4</v>
      </c>
      <c r="F388" t="s">
        <v>52</v>
      </c>
      <c r="G388" t="s">
        <v>128</v>
      </c>
      <c r="H388" t="s">
        <v>78</v>
      </c>
      <c r="I388" t="s">
        <v>19</v>
      </c>
      <c r="J388" s="4">
        <v>8</v>
      </c>
      <c r="K388" s="3">
        <v>131.84</v>
      </c>
      <c r="L388">
        <v>15</v>
      </c>
      <c r="M388" s="2">
        <v>896.51</v>
      </c>
      <c r="N388" s="2">
        <v>499.81</v>
      </c>
      <c r="O388" s="2">
        <v>396.7</v>
      </c>
      <c r="P388" s="1">
        <f>(Sales_Data[[#This Row],[Profit]]/Sales_Data[[#This Row],[Revenue]])</f>
        <v>0.44249366989771444</v>
      </c>
    </row>
    <row r="389" spans="1:16" x14ac:dyDescent="0.35">
      <c r="A389" t="s">
        <v>989</v>
      </c>
      <c r="B389" s="5" t="s">
        <v>114</v>
      </c>
      <c r="C389" s="5" t="s">
        <v>72</v>
      </c>
      <c r="D389" s="5" t="str">
        <f>"Q"&amp;ROUNDUP(MONTH(B389)/3,0)</f>
        <v>Q4</v>
      </c>
      <c r="E389" t="s">
        <v>16</v>
      </c>
      <c r="F389" t="s">
        <v>63</v>
      </c>
      <c r="G389" t="s">
        <v>60</v>
      </c>
      <c r="H389" t="s">
        <v>14</v>
      </c>
      <c r="I389" t="s">
        <v>8</v>
      </c>
      <c r="J389" s="4">
        <v>2</v>
      </c>
      <c r="K389" s="3">
        <v>2470.42</v>
      </c>
      <c r="L389">
        <v>15</v>
      </c>
      <c r="M389" s="2">
        <v>4199.71</v>
      </c>
      <c r="N389" s="2">
        <v>3448.33</v>
      </c>
      <c r="O389" s="2">
        <v>751.38</v>
      </c>
      <c r="P389" s="1">
        <f>(Sales_Data[[#This Row],[Profit]]/Sales_Data[[#This Row],[Revenue]])</f>
        <v>0.17891235347202544</v>
      </c>
    </row>
    <row r="390" spans="1:16" x14ac:dyDescent="0.35">
      <c r="A390" t="s">
        <v>988</v>
      </c>
      <c r="B390" s="5" t="s">
        <v>449</v>
      </c>
      <c r="C390" s="5" t="s">
        <v>72</v>
      </c>
      <c r="D390" s="5" t="str">
        <f>"Q"&amp;ROUNDUP(MONTH(B390)/3,0)</f>
        <v>Q4</v>
      </c>
      <c r="E390" t="s">
        <v>23</v>
      </c>
      <c r="F390" t="s">
        <v>3</v>
      </c>
      <c r="G390" t="s">
        <v>118</v>
      </c>
      <c r="H390" t="s">
        <v>59</v>
      </c>
      <c r="I390" t="s">
        <v>0</v>
      </c>
      <c r="J390" s="4">
        <v>7</v>
      </c>
      <c r="K390" s="3">
        <v>1647.5</v>
      </c>
      <c r="L390">
        <v>15</v>
      </c>
      <c r="M390" s="2">
        <v>9802.6200000000008</v>
      </c>
      <c r="N390" s="2">
        <v>6502.83</v>
      </c>
      <c r="O390" s="2">
        <v>3299.79</v>
      </c>
      <c r="P390" s="1">
        <f>(Sales_Data[[#This Row],[Profit]]/Sales_Data[[#This Row],[Revenue]])</f>
        <v>0.33662327010533916</v>
      </c>
    </row>
    <row r="391" spans="1:16" x14ac:dyDescent="0.35">
      <c r="A391" t="s">
        <v>987</v>
      </c>
      <c r="B391" s="5" t="s">
        <v>90</v>
      </c>
      <c r="C391" s="5" t="s">
        <v>72</v>
      </c>
      <c r="D391" s="5" t="str">
        <f>"Q"&amp;ROUNDUP(MONTH(B391)/3,0)</f>
        <v>Q4</v>
      </c>
      <c r="E391" t="s">
        <v>36</v>
      </c>
      <c r="F391" t="s">
        <v>11</v>
      </c>
      <c r="G391" t="s">
        <v>147</v>
      </c>
      <c r="H391" t="s">
        <v>50</v>
      </c>
      <c r="I391" t="s">
        <v>49</v>
      </c>
      <c r="J391" s="4">
        <v>7</v>
      </c>
      <c r="K391" s="3">
        <v>4577.2299999999996</v>
      </c>
      <c r="L391">
        <v>15</v>
      </c>
      <c r="M391" s="2">
        <v>27234.52</v>
      </c>
      <c r="N391" s="2">
        <v>17051.830000000002</v>
      </c>
      <c r="O391" s="2">
        <v>10182.69</v>
      </c>
      <c r="P391" s="1">
        <f>(Sales_Data[[#This Row],[Profit]]/Sales_Data[[#This Row],[Revenue]])</f>
        <v>0.37388909369432616</v>
      </c>
    </row>
    <row r="392" spans="1:16" x14ac:dyDescent="0.35">
      <c r="A392" t="s">
        <v>986</v>
      </c>
      <c r="B392" s="5" t="s">
        <v>76</v>
      </c>
      <c r="C392" s="5" t="s">
        <v>72</v>
      </c>
      <c r="D392" s="5" t="str">
        <f>"Q"&amp;ROUNDUP(MONTH(B392)/3,0)</f>
        <v>Q4</v>
      </c>
      <c r="E392" t="s">
        <v>23</v>
      </c>
      <c r="F392" t="s">
        <v>52</v>
      </c>
      <c r="G392" t="s">
        <v>104</v>
      </c>
      <c r="H392" t="s">
        <v>78</v>
      </c>
      <c r="I392" t="s">
        <v>19</v>
      </c>
      <c r="J392" s="4">
        <v>7</v>
      </c>
      <c r="K392" s="3">
        <v>108.06</v>
      </c>
      <c r="L392">
        <v>15</v>
      </c>
      <c r="M392" s="2">
        <v>642.96</v>
      </c>
      <c r="N392" s="2">
        <v>498.72</v>
      </c>
      <c r="O392" s="2">
        <v>144.24</v>
      </c>
      <c r="P392" s="1">
        <f>(Sales_Data[[#This Row],[Profit]]/Sales_Data[[#This Row],[Revenue]])</f>
        <v>0.22433743934303846</v>
      </c>
    </row>
    <row r="393" spans="1:16" x14ac:dyDescent="0.35">
      <c r="A393" t="s">
        <v>985</v>
      </c>
      <c r="B393" s="5" t="s">
        <v>106</v>
      </c>
      <c r="C393" s="5" t="s">
        <v>72</v>
      </c>
      <c r="D393" s="5" t="str">
        <f>"Q"&amp;ROUNDUP(MONTH(B393)/3,0)</f>
        <v>Q4</v>
      </c>
      <c r="E393" t="s">
        <v>4</v>
      </c>
      <c r="F393" t="s">
        <v>63</v>
      </c>
      <c r="G393" t="s">
        <v>108</v>
      </c>
      <c r="H393" t="s">
        <v>50</v>
      </c>
      <c r="I393" t="s">
        <v>49</v>
      </c>
      <c r="J393" s="4">
        <v>7</v>
      </c>
      <c r="K393" s="3">
        <v>4209.7700000000004</v>
      </c>
      <c r="L393">
        <v>15</v>
      </c>
      <c r="M393" s="2">
        <v>25048.13</v>
      </c>
      <c r="N393" s="2">
        <v>19868.509999999998</v>
      </c>
      <c r="O393" s="2">
        <v>5179.62</v>
      </c>
      <c r="P393" s="1">
        <f>(Sales_Data[[#This Row],[Profit]]/Sales_Data[[#This Row],[Revenue]])</f>
        <v>0.20678669425621793</v>
      </c>
    </row>
    <row r="394" spans="1:16" x14ac:dyDescent="0.35">
      <c r="A394" t="s">
        <v>984</v>
      </c>
      <c r="B394" s="5" t="s">
        <v>983</v>
      </c>
      <c r="C394" s="5" t="s">
        <v>72</v>
      </c>
      <c r="D394" s="5" t="str">
        <f>"Q"&amp;ROUNDUP(MONTH(B394)/3,0)</f>
        <v>Q4</v>
      </c>
      <c r="E394" t="s">
        <v>4</v>
      </c>
      <c r="F394" t="s">
        <v>22</v>
      </c>
      <c r="G394" t="s">
        <v>191</v>
      </c>
      <c r="H394" t="s">
        <v>1</v>
      </c>
      <c r="I394" t="s">
        <v>0</v>
      </c>
      <c r="J394" s="4">
        <v>2</v>
      </c>
      <c r="K394" s="3">
        <v>477.36</v>
      </c>
      <c r="L394">
        <v>15</v>
      </c>
      <c r="M394" s="2">
        <v>811.51</v>
      </c>
      <c r="N394" s="2">
        <v>541.01</v>
      </c>
      <c r="O394" s="2">
        <v>270.5</v>
      </c>
      <c r="P394" s="1">
        <f>(Sales_Data[[#This Row],[Profit]]/Sales_Data[[#This Row],[Revenue]])</f>
        <v>0.3333292257643159</v>
      </c>
    </row>
    <row r="395" spans="1:16" x14ac:dyDescent="0.35">
      <c r="A395" t="s">
        <v>982</v>
      </c>
      <c r="B395" s="5" t="s">
        <v>114</v>
      </c>
      <c r="C395" s="5" t="s">
        <v>72</v>
      </c>
      <c r="D395" s="5" t="str">
        <f>"Q"&amp;ROUNDUP(MONTH(B395)/3,0)</f>
        <v>Q4</v>
      </c>
      <c r="E395" t="s">
        <v>16</v>
      </c>
      <c r="F395" t="s">
        <v>3</v>
      </c>
      <c r="G395" t="s">
        <v>147</v>
      </c>
      <c r="H395" t="s">
        <v>78</v>
      </c>
      <c r="I395" t="s">
        <v>19</v>
      </c>
      <c r="J395" s="4">
        <v>1</v>
      </c>
      <c r="K395" s="3">
        <v>117.4</v>
      </c>
      <c r="L395">
        <v>15</v>
      </c>
      <c r="M395" s="2">
        <v>99.79</v>
      </c>
      <c r="N395" s="2">
        <v>60.12</v>
      </c>
      <c r="O395" s="2">
        <v>39.67</v>
      </c>
      <c r="P395" s="1">
        <f>(Sales_Data[[#This Row],[Profit]]/Sales_Data[[#This Row],[Revenue]])</f>
        <v>0.39753482312856997</v>
      </c>
    </row>
    <row r="396" spans="1:16" x14ac:dyDescent="0.35">
      <c r="A396" t="s">
        <v>981</v>
      </c>
      <c r="B396" s="5" t="s">
        <v>64</v>
      </c>
      <c r="C396" s="5" t="s">
        <v>5</v>
      </c>
      <c r="D396" s="5" t="str">
        <f>"Q"&amp;ROUNDUP(MONTH(B396)/3,0)</f>
        <v>Q3</v>
      </c>
      <c r="E396" t="s">
        <v>36</v>
      </c>
      <c r="F396" t="s">
        <v>56</v>
      </c>
      <c r="G396" t="s">
        <v>142</v>
      </c>
      <c r="H396" t="s">
        <v>34</v>
      </c>
      <c r="I396" t="s">
        <v>8</v>
      </c>
      <c r="J396" s="4">
        <v>3</v>
      </c>
      <c r="K396" s="3">
        <v>23215.47</v>
      </c>
      <c r="L396">
        <v>15</v>
      </c>
      <c r="M396" s="2">
        <v>59199.45</v>
      </c>
      <c r="N396" s="2">
        <v>34440.269999999997</v>
      </c>
      <c r="O396" s="2">
        <v>24759.18</v>
      </c>
      <c r="P396" s="1">
        <f>(Sales_Data[[#This Row],[Profit]]/Sales_Data[[#This Row],[Revenue]])</f>
        <v>0.41823327750511197</v>
      </c>
    </row>
    <row r="397" spans="1:16" x14ac:dyDescent="0.35">
      <c r="A397" t="s">
        <v>980</v>
      </c>
      <c r="B397" s="5" t="s">
        <v>437</v>
      </c>
      <c r="C397" s="5" t="s">
        <v>5</v>
      </c>
      <c r="D397" s="5" t="str">
        <f>"Q"&amp;ROUNDUP(MONTH(B397)/3,0)</f>
        <v>Q3</v>
      </c>
      <c r="E397" t="s">
        <v>36</v>
      </c>
      <c r="F397" t="s">
        <v>22</v>
      </c>
      <c r="G397" t="s">
        <v>118</v>
      </c>
      <c r="H397" t="s">
        <v>78</v>
      </c>
      <c r="I397" t="s">
        <v>19</v>
      </c>
      <c r="J397" s="4">
        <v>3</v>
      </c>
      <c r="K397" s="3">
        <v>116.46</v>
      </c>
      <c r="L397">
        <v>15</v>
      </c>
      <c r="M397" s="2">
        <v>296.97000000000003</v>
      </c>
      <c r="N397" s="2">
        <v>207.3</v>
      </c>
      <c r="O397" s="2">
        <v>89.67</v>
      </c>
      <c r="P397" s="1">
        <f>(Sales_Data[[#This Row],[Profit]]/Sales_Data[[#This Row],[Revenue]])</f>
        <v>0.30194969188806947</v>
      </c>
    </row>
    <row r="398" spans="1:16" x14ac:dyDescent="0.35">
      <c r="A398" t="s">
        <v>979</v>
      </c>
      <c r="B398" s="5" t="s">
        <v>43</v>
      </c>
      <c r="C398" s="5" t="s">
        <v>5</v>
      </c>
      <c r="D398" s="5" t="str">
        <f>"Q"&amp;ROUNDUP(MONTH(B398)/3,0)</f>
        <v>Q3</v>
      </c>
      <c r="E398" t="s">
        <v>36</v>
      </c>
      <c r="F398" t="s">
        <v>22</v>
      </c>
      <c r="G398" t="s">
        <v>68</v>
      </c>
      <c r="H398" t="s">
        <v>34</v>
      </c>
      <c r="I398" t="s">
        <v>8</v>
      </c>
      <c r="J398" s="4">
        <v>1</v>
      </c>
      <c r="K398" s="3">
        <v>27259.8</v>
      </c>
      <c r="L398">
        <v>15</v>
      </c>
      <c r="M398" s="2">
        <v>23170.83</v>
      </c>
      <c r="N398" s="2">
        <v>15699.37</v>
      </c>
      <c r="O398" s="2">
        <v>7471.46</v>
      </c>
      <c r="P398" s="1">
        <f>(Sales_Data[[#This Row],[Profit]]/Sales_Data[[#This Row],[Revenue]])</f>
        <v>0.32245111633894857</v>
      </c>
    </row>
    <row r="399" spans="1:16" x14ac:dyDescent="0.35">
      <c r="A399" t="s">
        <v>978</v>
      </c>
      <c r="B399" s="5" t="s">
        <v>32</v>
      </c>
      <c r="C399" s="5" t="s">
        <v>5</v>
      </c>
      <c r="D399" s="5" t="str">
        <f>"Q"&amp;ROUNDUP(MONTH(B399)/3,0)</f>
        <v>Q3</v>
      </c>
      <c r="E399" t="s">
        <v>4</v>
      </c>
      <c r="F399" t="s">
        <v>56</v>
      </c>
      <c r="G399" t="s">
        <v>101</v>
      </c>
      <c r="H399" t="s">
        <v>14</v>
      </c>
      <c r="I399" t="s">
        <v>8</v>
      </c>
      <c r="J399" s="4">
        <v>6</v>
      </c>
      <c r="K399" s="3">
        <v>2488.38</v>
      </c>
      <c r="L399">
        <v>15</v>
      </c>
      <c r="M399" s="2">
        <v>12690.74</v>
      </c>
      <c r="N399" s="2">
        <v>7382.7</v>
      </c>
      <c r="O399" s="2">
        <v>5308.04</v>
      </c>
      <c r="P399" s="1">
        <f>(Sales_Data[[#This Row],[Profit]]/Sales_Data[[#This Row],[Revenue]])</f>
        <v>0.41826087367639714</v>
      </c>
    </row>
    <row r="400" spans="1:16" x14ac:dyDescent="0.35">
      <c r="A400" t="s">
        <v>977</v>
      </c>
      <c r="B400" s="5" t="s">
        <v>441</v>
      </c>
      <c r="C400" s="5" t="s">
        <v>5</v>
      </c>
      <c r="D400" s="5" t="str">
        <f>"Q"&amp;ROUNDUP(MONTH(B400)/3,0)</f>
        <v>Q3</v>
      </c>
      <c r="E400" t="s">
        <v>4</v>
      </c>
      <c r="F400" t="s">
        <v>11</v>
      </c>
      <c r="G400" t="s">
        <v>104</v>
      </c>
      <c r="H400" t="s">
        <v>14</v>
      </c>
      <c r="I400" t="s">
        <v>8</v>
      </c>
      <c r="J400" s="4">
        <v>4</v>
      </c>
      <c r="K400" s="3">
        <v>2634.35</v>
      </c>
      <c r="L400">
        <v>15</v>
      </c>
      <c r="M400" s="2">
        <v>8956.7900000000009</v>
      </c>
      <c r="N400" s="2">
        <v>6983.25</v>
      </c>
      <c r="O400" s="2">
        <v>1973.54</v>
      </c>
      <c r="P400" s="1">
        <f>(Sales_Data[[#This Row],[Profit]]/Sales_Data[[#This Row],[Revenue]])</f>
        <v>0.22034009952226186</v>
      </c>
    </row>
    <row r="401" spans="1:16" x14ac:dyDescent="0.35">
      <c r="A401" t="s">
        <v>976</v>
      </c>
      <c r="B401" s="5" t="s">
        <v>432</v>
      </c>
      <c r="C401" s="5" t="s">
        <v>5</v>
      </c>
      <c r="D401" s="5" t="str">
        <f>"Q"&amp;ROUNDUP(MONTH(B401)/3,0)</f>
        <v>Q3</v>
      </c>
      <c r="E401" t="s">
        <v>4</v>
      </c>
      <c r="F401" t="s">
        <v>52</v>
      </c>
      <c r="G401" t="s">
        <v>42</v>
      </c>
      <c r="H401" t="s">
        <v>9</v>
      </c>
      <c r="I401" t="s">
        <v>8</v>
      </c>
      <c r="J401" s="4">
        <v>6</v>
      </c>
      <c r="K401" s="3">
        <v>65319.32</v>
      </c>
      <c r="L401">
        <v>15</v>
      </c>
      <c r="M401" s="2">
        <v>333128.53000000003</v>
      </c>
      <c r="N401" s="2">
        <v>221496.84</v>
      </c>
      <c r="O401" s="2">
        <v>111631.69</v>
      </c>
      <c r="P401" s="1">
        <f>(Sales_Data[[#This Row],[Profit]]/Sales_Data[[#This Row],[Revenue]])</f>
        <v>0.33510095938045292</v>
      </c>
    </row>
    <row r="402" spans="1:16" x14ac:dyDescent="0.35">
      <c r="A402" t="s">
        <v>975</v>
      </c>
      <c r="B402" s="5" t="s">
        <v>6</v>
      </c>
      <c r="C402" s="5" t="s">
        <v>5</v>
      </c>
      <c r="D402" s="5" t="str">
        <f>"Q"&amp;ROUNDUP(MONTH(B402)/3,0)</f>
        <v>Q3</v>
      </c>
      <c r="E402" t="s">
        <v>36</v>
      </c>
      <c r="F402" t="s">
        <v>3</v>
      </c>
      <c r="G402" t="s">
        <v>75</v>
      </c>
      <c r="H402" t="s">
        <v>9</v>
      </c>
      <c r="I402" t="s">
        <v>8</v>
      </c>
      <c r="J402" s="4">
        <v>2</v>
      </c>
      <c r="K402" s="3">
        <v>56191.33</v>
      </c>
      <c r="L402">
        <v>15</v>
      </c>
      <c r="M402" s="2">
        <v>95525.26</v>
      </c>
      <c r="N402" s="2">
        <v>71276.45</v>
      </c>
      <c r="O402" s="2">
        <v>24248.81</v>
      </c>
      <c r="P402" s="1">
        <f>(Sales_Data[[#This Row],[Profit]]/Sales_Data[[#This Row],[Revenue]])</f>
        <v>0.25384709761585578</v>
      </c>
    </row>
    <row r="403" spans="1:16" x14ac:dyDescent="0.35">
      <c r="A403" t="s">
        <v>974</v>
      </c>
      <c r="B403" s="5" t="s">
        <v>24</v>
      </c>
      <c r="C403" s="5" t="s">
        <v>5</v>
      </c>
      <c r="D403" s="5" t="str">
        <f>"Q"&amp;ROUNDUP(MONTH(B403)/3,0)</f>
        <v>Q3</v>
      </c>
      <c r="E403" t="s">
        <v>23</v>
      </c>
      <c r="F403" t="s">
        <v>63</v>
      </c>
      <c r="G403" t="s">
        <v>60</v>
      </c>
      <c r="H403" t="s">
        <v>50</v>
      </c>
      <c r="I403" t="s">
        <v>49</v>
      </c>
      <c r="J403" s="4">
        <v>5</v>
      </c>
      <c r="K403" s="3">
        <v>4090.87</v>
      </c>
      <c r="L403">
        <v>15</v>
      </c>
      <c r="M403" s="2">
        <v>17386.2</v>
      </c>
      <c r="N403" s="2">
        <v>12636.37</v>
      </c>
      <c r="O403" s="2">
        <v>4749.83</v>
      </c>
      <c r="P403" s="1">
        <f>(Sales_Data[[#This Row],[Profit]]/Sales_Data[[#This Row],[Revenue]])</f>
        <v>0.27319540785220459</v>
      </c>
    </row>
    <row r="404" spans="1:16" x14ac:dyDescent="0.35">
      <c r="A404" t="s">
        <v>973</v>
      </c>
      <c r="B404" s="5" t="s">
        <v>972</v>
      </c>
      <c r="C404" s="5" t="s">
        <v>5</v>
      </c>
      <c r="D404" s="5" t="str">
        <f>"Q"&amp;ROUNDUP(MONTH(B404)/3,0)</f>
        <v>Q3</v>
      </c>
      <c r="E404" t="s">
        <v>23</v>
      </c>
      <c r="F404" t="s">
        <v>3</v>
      </c>
      <c r="G404" t="s">
        <v>95</v>
      </c>
      <c r="H404" t="s">
        <v>45</v>
      </c>
      <c r="I404" t="s">
        <v>8</v>
      </c>
      <c r="J404" s="4">
        <v>6</v>
      </c>
      <c r="K404" s="3">
        <v>826.24</v>
      </c>
      <c r="L404">
        <v>15</v>
      </c>
      <c r="M404" s="2">
        <v>4213.82</v>
      </c>
      <c r="N404" s="2">
        <v>3411.36</v>
      </c>
      <c r="O404" s="2">
        <v>802.46</v>
      </c>
      <c r="P404" s="1">
        <f>(Sales_Data[[#This Row],[Profit]]/Sales_Data[[#This Row],[Revenue]])</f>
        <v>0.19043528200065502</v>
      </c>
    </row>
    <row r="405" spans="1:16" x14ac:dyDescent="0.35">
      <c r="A405" t="s">
        <v>971</v>
      </c>
      <c r="B405" s="5" t="s">
        <v>53</v>
      </c>
      <c r="C405" s="5" t="s">
        <v>5</v>
      </c>
      <c r="D405" s="5" t="str">
        <f>"Q"&amp;ROUNDUP(MONTH(B405)/3,0)</f>
        <v>Q3</v>
      </c>
      <c r="E405" t="s">
        <v>23</v>
      </c>
      <c r="F405" t="s">
        <v>3</v>
      </c>
      <c r="G405" t="s">
        <v>255</v>
      </c>
      <c r="H405" t="s">
        <v>78</v>
      </c>
      <c r="I405" t="s">
        <v>19</v>
      </c>
      <c r="J405" s="4">
        <v>3</v>
      </c>
      <c r="K405" s="3">
        <v>126.68</v>
      </c>
      <c r="L405">
        <v>15</v>
      </c>
      <c r="M405" s="2">
        <v>323.02999999999997</v>
      </c>
      <c r="N405" s="2">
        <v>249.66</v>
      </c>
      <c r="O405" s="2">
        <v>73.37</v>
      </c>
      <c r="P405" s="1">
        <f>(Sales_Data[[#This Row],[Profit]]/Sales_Data[[#This Row],[Revenue]])</f>
        <v>0.22713060706435939</v>
      </c>
    </row>
    <row r="406" spans="1:16" x14ac:dyDescent="0.35">
      <c r="A406" t="s">
        <v>970</v>
      </c>
      <c r="B406" s="5" t="s">
        <v>969</v>
      </c>
      <c r="C406" s="5" t="s">
        <v>5</v>
      </c>
      <c r="D406" s="5" t="str">
        <f>"Q"&amp;ROUNDUP(MONTH(B406)/3,0)</f>
        <v>Q3</v>
      </c>
      <c r="E406" t="s">
        <v>16</v>
      </c>
      <c r="F406" t="s">
        <v>63</v>
      </c>
      <c r="G406" t="s">
        <v>66</v>
      </c>
      <c r="H406" t="s">
        <v>111</v>
      </c>
      <c r="I406" t="s">
        <v>49</v>
      </c>
      <c r="J406" s="4">
        <v>1</v>
      </c>
      <c r="K406" s="3">
        <v>7730.95</v>
      </c>
      <c r="L406">
        <v>15</v>
      </c>
      <c r="M406" s="2">
        <v>6571.31</v>
      </c>
      <c r="N406" s="2">
        <v>3870.13</v>
      </c>
      <c r="O406" s="2">
        <v>2701.18</v>
      </c>
      <c r="P406" s="1">
        <f>(Sales_Data[[#This Row],[Profit]]/Sales_Data[[#This Row],[Revenue]])</f>
        <v>0.41105654732465818</v>
      </c>
    </row>
    <row r="407" spans="1:16" x14ac:dyDescent="0.35">
      <c r="A407" t="s">
        <v>968</v>
      </c>
      <c r="B407" s="5" t="s">
        <v>69</v>
      </c>
      <c r="C407" s="5" t="s">
        <v>5</v>
      </c>
      <c r="D407" s="5" t="str">
        <f>"Q"&amp;ROUNDUP(MONTH(B407)/3,0)</f>
        <v>Q3</v>
      </c>
      <c r="E407" t="s">
        <v>36</v>
      </c>
      <c r="F407" t="s">
        <v>22</v>
      </c>
      <c r="G407" t="s">
        <v>10</v>
      </c>
      <c r="H407" t="s">
        <v>111</v>
      </c>
      <c r="I407" t="s">
        <v>49</v>
      </c>
      <c r="J407" s="4">
        <v>5</v>
      </c>
      <c r="K407" s="3">
        <v>7582.87</v>
      </c>
      <c r="L407">
        <v>15</v>
      </c>
      <c r="M407" s="2">
        <v>32227.200000000001</v>
      </c>
      <c r="N407" s="2">
        <v>20735</v>
      </c>
      <c r="O407" s="2">
        <v>11492.2</v>
      </c>
      <c r="P407" s="1">
        <f>(Sales_Data[[#This Row],[Profit]]/Sales_Data[[#This Row],[Revenue]])</f>
        <v>0.35659939430046672</v>
      </c>
    </row>
    <row r="408" spans="1:16" x14ac:dyDescent="0.35">
      <c r="A408" t="s">
        <v>967</v>
      </c>
      <c r="B408" s="5" t="s">
        <v>43</v>
      </c>
      <c r="C408" s="5" t="s">
        <v>5</v>
      </c>
      <c r="D408" s="5" t="str">
        <f>"Q"&amp;ROUNDUP(MONTH(B408)/3,0)</f>
        <v>Q3</v>
      </c>
      <c r="E408" t="s">
        <v>23</v>
      </c>
      <c r="F408" t="s">
        <v>11</v>
      </c>
      <c r="G408" t="s">
        <v>26</v>
      </c>
      <c r="H408" t="s">
        <v>111</v>
      </c>
      <c r="I408" t="s">
        <v>49</v>
      </c>
      <c r="J408" s="4">
        <v>6</v>
      </c>
      <c r="K408" s="3">
        <v>7348.43</v>
      </c>
      <c r="L408">
        <v>15</v>
      </c>
      <c r="M408" s="2">
        <v>37476.99</v>
      </c>
      <c r="N408" s="2">
        <v>26312.86</v>
      </c>
      <c r="O408" s="2">
        <v>11164.13</v>
      </c>
      <c r="P408" s="1">
        <f>(Sales_Data[[#This Row],[Profit]]/Sales_Data[[#This Row],[Revenue]])</f>
        <v>0.29789292042930876</v>
      </c>
    </row>
    <row r="409" spans="1:16" x14ac:dyDescent="0.35">
      <c r="A409" t="s">
        <v>966</v>
      </c>
      <c r="B409" s="5" t="s">
        <v>32</v>
      </c>
      <c r="C409" s="5" t="s">
        <v>5</v>
      </c>
      <c r="D409" s="5" t="str">
        <f>"Q"&amp;ROUNDUP(MONTH(B409)/3,0)</f>
        <v>Q3</v>
      </c>
      <c r="E409" t="s">
        <v>23</v>
      </c>
      <c r="F409" t="s">
        <v>52</v>
      </c>
      <c r="G409" t="s">
        <v>220</v>
      </c>
      <c r="H409" t="s">
        <v>50</v>
      </c>
      <c r="I409" t="s">
        <v>49</v>
      </c>
      <c r="J409" s="4">
        <v>7</v>
      </c>
      <c r="K409" s="3">
        <v>4153.33</v>
      </c>
      <c r="L409">
        <v>15</v>
      </c>
      <c r="M409" s="2">
        <v>24712.31</v>
      </c>
      <c r="N409" s="2">
        <v>16948.87</v>
      </c>
      <c r="O409" s="2">
        <v>7763.44</v>
      </c>
      <c r="P409" s="1">
        <f>(Sales_Data[[#This Row],[Profit]]/Sales_Data[[#This Row],[Revenue]])</f>
        <v>0.31415274411821476</v>
      </c>
    </row>
    <row r="410" spans="1:16" x14ac:dyDescent="0.35">
      <c r="A410" t="s">
        <v>965</v>
      </c>
      <c r="B410" s="5" t="s">
        <v>47</v>
      </c>
      <c r="C410" s="5" t="s">
        <v>5</v>
      </c>
      <c r="D410" s="5" t="str">
        <f>"Q"&amp;ROUNDUP(MONTH(B410)/3,0)</f>
        <v>Q3</v>
      </c>
      <c r="E410" t="s">
        <v>16</v>
      </c>
      <c r="F410" t="s">
        <v>22</v>
      </c>
      <c r="G410" t="s">
        <v>15</v>
      </c>
      <c r="H410" t="s">
        <v>50</v>
      </c>
      <c r="I410" t="s">
        <v>49</v>
      </c>
      <c r="J410" s="4">
        <v>8</v>
      </c>
      <c r="K410" s="3">
        <v>4700.93</v>
      </c>
      <c r="L410">
        <v>15</v>
      </c>
      <c r="M410" s="2">
        <v>31966.32</v>
      </c>
      <c r="N410" s="2">
        <v>23406.3</v>
      </c>
      <c r="O410" s="2">
        <v>8560.02</v>
      </c>
      <c r="P410" s="1">
        <f>(Sales_Data[[#This Row],[Profit]]/Sales_Data[[#This Row],[Revenue]])</f>
        <v>0.26778246604551292</v>
      </c>
    </row>
    <row r="411" spans="1:16" x14ac:dyDescent="0.35">
      <c r="A411" t="s">
        <v>964</v>
      </c>
      <c r="B411" s="5" t="s">
        <v>437</v>
      </c>
      <c r="C411" s="5" t="s">
        <v>5</v>
      </c>
      <c r="D411" s="5" t="str">
        <f>"Q"&amp;ROUNDUP(MONTH(B411)/3,0)</f>
        <v>Q3</v>
      </c>
      <c r="E411" t="s">
        <v>36</v>
      </c>
      <c r="F411" t="s">
        <v>3</v>
      </c>
      <c r="G411" t="s">
        <v>169</v>
      </c>
      <c r="H411" t="s">
        <v>111</v>
      </c>
      <c r="I411" t="s">
        <v>49</v>
      </c>
      <c r="J411" s="4">
        <v>8</v>
      </c>
      <c r="K411" s="3">
        <v>7854.61</v>
      </c>
      <c r="L411">
        <v>15</v>
      </c>
      <c r="M411" s="2">
        <v>53411.35</v>
      </c>
      <c r="N411" s="2">
        <v>29387.84</v>
      </c>
      <c r="O411" s="2">
        <v>24023.51</v>
      </c>
      <c r="P411" s="1">
        <f>(Sales_Data[[#This Row],[Profit]]/Sales_Data[[#This Row],[Revenue]])</f>
        <v>0.44978286450351845</v>
      </c>
    </row>
    <row r="412" spans="1:16" x14ac:dyDescent="0.35">
      <c r="A412" t="s">
        <v>963</v>
      </c>
      <c r="B412" s="5" t="s">
        <v>53</v>
      </c>
      <c r="C412" s="5" t="s">
        <v>5</v>
      </c>
      <c r="D412" s="5" t="str">
        <f>"Q"&amp;ROUNDUP(MONTH(B412)/3,0)</f>
        <v>Q3</v>
      </c>
      <c r="E412" t="s">
        <v>36</v>
      </c>
      <c r="F412" t="s">
        <v>3</v>
      </c>
      <c r="G412" t="s">
        <v>10</v>
      </c>
      <c r="H412" t="s">
        <v>20</v>
      </c>
      <c r="I412" t="s">
        <v>19</v>
      </c>
      <c r="J412" s="4">
        <v>6</v>
      </c>
      <c r="K412" s="3">
        <v>28.24</v>
      </c>
      <c r="L412">
        <v>15</v>
      </c>
      <c r="M412" s="2">
        <v>144.02000000000001</v>
      </c>
      <c r="N412" s="2">
        <v>86.82</v>
      </c>
      <c r="O412" s="2">
        <v>57.2</v>
      </c>
      <c r="P412" s="1">
        <f>(Sales_Data[[#This Row],[Profit]]/Sales_Data[[#This Row],[Revenue]])</f>
        <v>0.39716706013053743</v>
      </c>
    </row>
    <row r="413" spans="1:16" x14ac:dyDescent="0.35">
      <c r="A413" t="s">
        <v>962</v>
      </c>
      <c r="B413" s="5" t="s">
        <v>435</v>
      </c>
      <c r="C413" s="5" t="s">
        <v>5</v>
      </c>
      <c r="D413" s="5" t="str">
        <f>"Q"&amp;ROUNDUP(MONTH(B413)/3,0)</f>
        <v>Q3</v>
      </c>
      <c r="E413" t="s">
        <v>23</v>
      </c>
      <c r="F413" t="s">
        <v>22</v>
      </c>
      <c r="G413" t="s">
        <v>51</v>
      </c>
      <c r="H413" t="s">
        <v>34</v>
      </c>
      <c r="I413" t="s">
        <v>8</v>
      </c>
      <c r="J413" s="4">
        <v>1</v>
      </c>
      <c r="K413" s="3">
        <v>22740.22</v>
      </c>
      <c r="L413">
        <v>15</v>
      </c>
      <c r="M413" s="2">
        <v>19329.189999999999</v>
      </c>
      <c r="N413" s="2">
        <v>11330.91</v>
      </c>
      <c r="O413" s="2">
        <v>7998.28</v>
      </c>
      <c r="P413" s="1">
        <f>(Sales_Data[[#This Row],[Profit]]/Sales_Data[[#This Row],[Revenue]])</f>
        <v>0.41379281801254997</v>
      </c>
    </row>
    <row r="414" spans="1:16" x14ac:dyDescent="0.35">
      <c r="A414" t="s">
        <v>961</v>
      </c>
      <c r="B414" s="5" t="s">
        <v>960</v>
      </c>
      <c r="C414" s="5" t="s">
        <v>408</v>
      </c>
      <c r="D414" s="5" t="str">
        <f>"Q"&amp;ROUNDUP(MONTH(B414)/3,0)</f>
        <v>Q2</v>
      </c>
      <c r="E414" t="s">
        <v>36</v>
      </c>
      <c r="F414" t="s">
        <v>3</v>
      </c>
      <c r="G414" t="s">
        <v>75</v>
      </c>
      <c r="H414" t="s">
        <v>34</v>
      </c>
      <c r="I414" t="s">
        <v>8</v>
      </c>
      <c r="J414" s="4">
        <v>6</v>
      </c>
      <c r="K414" s="3">
        <v>22666.14</v>
      </c>
      <c r="L414">
        <v>10</v>
      </c>
      <c r="M414" s="2">
        <v>122397.16</v>
      </c>
      <c r="N414" s="2">
        <v>91013.32</v>
      </c>
      <c r="O414" s="2">
        <v>31383.84</v>
      </c>
      <c r="P414" s="1">
        <f>(Sales_Data[[#This Row],[Profit]]/Sales_Data[[#This Row],[Revenue]])</f>
        <v>0.25640987094798606</v>
      </c>
    </row>
    <row r="415" spans="1:16" x14ac:dyDescent="0.35">
      <c r="A415" t="s">
        <v>959</v>
      </c>
      <c r="B415" s="5" t="s">
        <v>958</v>
      </c>
      <c r="C415" s="5" t="s">
        <v>408</v>
      </c>
      <c r="D415" s="5" t="str">
        <f>"Q"&amp;ROUNDUP(MONTH(B415)/3,0)</f>
        <v>Q2</v>
      </c>
      <c r="E415" t="s">
        <v>4</v>
      </c>
      <c r="F415" t="s">
        <v>22</v>
      </c>
      <c r="G415" t="s">
        <v>10</v>
      </c>
      <c r="H415" t="s">
        <v>111</v>
      </c>
      <c r="I415" t="s">
        <v>49</v>
      </c>
      <c r="J415" s="4">
        <v>4</v>
      </c>
      <c r="K415" s="3">
        <v>8020.19</v>
      </c>
      <c r="L415">
        <v>10</v>
      </c>
      <c r="M415" s="2">
        <v>28872.68</v>
      </c>
      <c r="N415" s="2">
        <v>23876.2</v>
      </c>
      <c r="O415" s="2">
        <v>4996.4799999999996</v>
      </c>
      <c r="P415" s="1">
        <f>(Sales_Data[[#This Row],[Profit]]/Sales_Data[[#This Row],[Revenue]])</f>
        <v>0.17305217250355698</v>
      </c>
    </row>
    <row r="416" spans="1:16" x14ac:dyDescent="0.35">
      <c r="A416" t="s">
        <v>957</v>
      </c>
      <c r="B416" s="5" t="s">
        <v>411</v>
      </c>
      <c r="C416" s="5" t="s">
        <v>408</v>
      </c>
      <c r="D416" s="5" t="str">
        <f>"Q"&amp;ROUNDUP(MONTH(B416)/3,0)</f>
        <v>Q2</v>
      </c>
      <c r="E416" t="s">
        <v>23</v>
      </c>
      <c r="F416" t="s">
        <v>56</v>
      </c>
      <c r="G416" t="s">
        <v>159</v>
      </c>
      <c r="H416" t="s">
        <v>78</v>
      </c>
      <c r="I416" t="s">
        <v>19</v>
      </c>
      <c r="J416" s="4">
        <v>5</v>
      </c>
      <c r="K416" s="3">
        <v>127.14</v>
      </c>
      <c r="L416">
        <v>10</v>
      </c>
      <c r="M416" s="2">
        <v>572.13</v>
      </c>
      <c r="N416" s="2">
        <v>438.1</v>
      </c>
      <c r="O416" s="2">
        <v>134.03</v>
      </c>
      <c r="P416" s="1">
        <f>(Sales_Data[[#This Row],[Profit]]/Sales_Data[[#This Row],[Revenue]])</f>
        <v>0.23426493978641219</v>
      </c>
    </row>
    <row r="417" spans="1:16" x14ac:dyDescent="0.35">
      <c r="A417" t="s">
        <v>956</v>
      </c>
      <c r="B417" s="5" t="s">
        <v>409</v>
      </c>
      <c r="C417" s="5" t="s">
        <v>408</v>
      </c>
      <c r="D417" s="5" t="str">
        <f>"Q"&amp;ROUNDUP(MONTH(B417)/3,0)</f>
        <v>Q2</v>
      </c>
      <c r="E417" t="s">
        <v>4</v>
      </c>
      <c r="F417" t="s">
        <v>52</v>
      </c>
      <c r="G417" t="s">
        <v>46</v>
      </c>
      <c r="H417" t="s">
        <v>45</v>
      </c>
      <c r="I417" t="s">
        <v>8</v>
      </c>
      <c r="J417" s="4">
        <v>1</v>
      </c>
      <c r="K417" s="3">
        <v>868.84</v>
      </c>
      <c r="L417">
        <v>10</v>
      </c>
      <c r="M417" s="2">
        <v>781.96</v>
      </c>
      <c r="N417" s="2">
        <v>627.35</v>
      </c>
      <c r="O417" s="2">
        <v>154.61000000000001</v>
      </c>
      <c r="P417" s="1">
        <f>(Sales_Data[[#This Row],[Profit]]/Sales_Data[[#This Row],[Revenue]])</f>
        <v>0.1977211110542739</v>
      </c>
    </row>
    <row r="418" spans="1:16" x14ac:dyDescent="0.35">
      <c r="A418" t="s">
        <v>955</v>
      </c>
      <c r="B418" s="5" t="s">
        <v>708</v>
      </c>
      <c r="C418" s="5" t="s">
        <v>408</v>
      </c>
      <c r="D418" s="5" t="str">
        <f>"Q"&amp;ROUNDUP(MONTH(B418)/3,0)</f>
        <v>Q2</v>
      </c>
      <c r="E418" t="s">
        <v>16</v>
      </c>
      <c r="F418" t="s">
        <v>3</v>
      </c>
      <c r="G418" t="s">
        <v>128</v>
      </c>
      <c r="H418" t="s">
        <v>34</v>
      </c>
      <c r="I418" t="s">
        <v>8</v>
      </c>
      <c r="J418" s="4">
        <v>7</v>
      </c>
      <c r="K418" s="3">
        <v>23746.35</v>
      </c>
      <c r="L418">
        <v>10</v>
      </c>
      <c r="M418" s="2">
        <v>149602</v>
      </c>
      <c r="N418" s="2">
        <v>124545.52</v>
      </c>
      <c r="O418" s="2">
        <v>25056.48</v>
      </c>
      <c r="P418" s="1">
        <f>(Sales_Data[[#This Row],[Profit]]/Sales_Data[[#This Row],[Revenue]])</f>
        <v>0.16748760043314928</v>
      </c>
    </row>
    <row r="419" spans="1:16" x14ac:dyDescent="0.35">
      <c r="A419" t="s">
        <v>954</v>
      </c>
      <c r="B419" s="5" t="s">
        <v>949</v>
      </c>
      <c r="C419" s="5" t="s">
        <v>408</v>
      </c>
      <c r="D419" s="5" t="str">
        <f>"Q"&amp;ROUNDUP(MONTH(B419)/3,0)</f>
        <v>Q2</v>
      </c>
      <c r="E419" t="s">
        <v>23</v>
      </c>
      <c r="F419" t="s">
        <v>3</v>
      </c>
      <c r="G419" t="s">
        <v>128</v>
      </c>
      <c r="H419" t="s">
        <v>45</v>
      </c>
      <c r="I419" t="s">
        <v>8</v>
      </c>
      <c r="J419" s="4">
        <v>2</v>
      </c>
      <c r="K419" s="3">
        <v>817.01</v>
      </c>
      <c r="L419">
        <v>10</v>
      </c>
      <c r="M419" s="2">
        <v>1470.62</v>
      </c>
      <c r="N419" s="2">
        <v>957.18</v>
      </c>
      <c r="O419" s="2">
        <v>513.44000000000005</v>
      </c>
      <c r="P419" s="1">
        <f>(Sales_Data[[#This Row],[Profit]]/Sales_Data[[#This Row],[Revenue]])</f>
        <v>0.34913165875617092</v>
      </c>
    </row>
    <row r="420" spans="1:16" x14ac:dyDescent="0.35">
      <c r="A420" t="s">
        <v>953</v>
      </c>
      <c r="B420" s="5" t="s">
        <v>718</v>
      </c>
      <c r="C420" s="5" t="s">
        <v>408</v>
      </c>
      <c r="D420" s="5" t="str">
        <f>"Q"&amp;ROUNDUP(MONTH(B420)/3,0)</f>
        <v>Q2</v>
      </c>
      <c r="E420" t="s">
        <v>16</v>
      </c>
      <c r="F420" t="s">
        <v>22</v>
      </c>
      <c r="G420" t="s">
        <v>21</v>
      </c>
      <c r="H420" t="s">
        <v>1</v>
      </c>
      <c r="I420" t="s">
        <v>0</v>
      </c>
      <c r="J420" s="4">
        <v>6</v>
      </c>
      <c r="K420" s="3">
        <v>502.94</v>
      </c>
      <c r="L420">
        <v>10</v>
      </c>
      <c r="M420" s="2">
        <v>2715.88</v>
      </c>
      <c r="N420" s="2">
        <v>2299.29</v>
      </c>
      <c r="O420" s="2">
        <v>416.59</v>
      </c>
      <c r="P420" s="1">
        <f>(Sales_Data[[#This Row],[Profit]]/Sales_Data[[#This Row],[Revenue]])</f>
        <v>0.1533904296213382</v>
      </c>
    </row>
    <row r="421" spans="1:16" x14ac:dyDescent="0.35">
      <c r="A421" t="s">
        <v>952</v>
      </c>
      <c r="B421" s="5" t="s">
        <v>421</v>
      </c>
      <c r="C421" s="5" t="s">
        <v>408</v>
      </c>
      <c r="D421" s="5" t="str">
        <f>"Q"&amp;ROUNDUP(MONTH(B421)/3,0)</f>
        <v>Q2</v>
      </c>
      <c r="E421" t="s">
        <v>4</v>
      </c>
      <c r="F421" t="s">
        <v>63</v>
      </c>
      <c r="G421" t="s">
        <v>21</v>
      </c>
      <c r="H421" t="s">
        <v>9</v>
      </c>
      <c r="I421" t="s">
        <v>8</v>
      </c>
      <c r="J421" s="4">
        <v>6</v>
      </c>
      <c r="K421" s="3">
        <v>62106.48</v>
      </c>
      <c r="L421">
        <v>10</v>
      </c>
      <c r="M421" s="2">
        <v>335374.99</v>
      </c>
      <c r="N421" s="2">
        <v>184805.12</v>
      </c>
      <c r="O421" s="2">
        <v>150569.87</v>
      </c>
      <c r="P421" s="1">
        <f>(Sales_Data[[#This Row],[Profit]]/Sales_Data[[#This Row],[Revenue]])</f>
        <v>0.44895974503048064</v>
      </c>
    </row>
    <row r="422" spans="1:16" x14ac:dyDescent="0.35">
      <c r="A422" t="s">
        <v>951</v>
      </c>
      <c r="B422" s="5" t="s">
        <v>426</v>
      </c>
      <c r="C422" s="5" t="s">
        <v>408</v>
      </c>
      <c r="D422" s="5" t="str">
        <f>"Q"&amp;ROUNDUP(MONTH(B422)/3,0)</f>
        <v>Q2</v>
      </c>
      <c r="E422" t="s">
        <v>36</v>
      </c>
      <c r="F422" t="s">
        <v>52</v>
      </c>
      <c r="G422" t="s">
        <v>79</v>
      </c>
      <c r="H422" t="s">
        <v>1</v>
      </c>
      <c r="I422" t="s">
        <v>0</v>
      </c>
      <c r="J422" s="4">
        <v>7</v>
      </c>
      <c r="K422" s="3">
        <v>464.63</v>
      </c>
      <c r="L422">
        <v>10</v>
      </c>
      <c r="M422" s="2">
        <v>2927.17</v>
      </c>
      <c r="N422" s="2">
        <v>2371.6799999999998</v>
      </c>
      <c r="O422" s="2">
        <v>555.49</v>
      </c>
      <c r="P422" s="1">
        <f>(Sales_Data[[#This Row],[Profit]]/Sales_Data[[#This Row],[Revenue]])</f>
        <v>0.18977032423808662</v>
      </c>
    </row>
    <row r="423" spans="1:16" x14ac:dyDescent="0.35">
      <c r="A423" t="s">
        <v>950</v>
      </c>
      <c r="B423" s="5" t="s">
        <v>949</v>
      </c>
      <c r="C423" s="5" t="s">
        <v>408</v>
      </c>
      <c r="D423" s="5" t="str">
        <f>"Q"&amp;ROUNDUP(MONTH(B423)/3,0)</f>
        <v>Q2</v>
      </c>
      <c r="E423" t="s">
        <v>36</v>
      </c>
      <c r="F423" t="s">
        <v>22</v>
      </c>
      <c r="G423" t="s">
        <v>264</v>
      </c>
      <c r="H423" t="s">
        <v>111</v>
      </c>
      <c r="I423" t="s">
        <v>49</v>
      </c>
      <c r="J423" s="4">
        <v>6</v>
      </c>
      <c r="K423" s="3">
        <v>7850.98</v>
      </c>
      <c r="L423">
        <v>10</v>
      </c>
      <c r="M423" s="2">
        <v>42395.29</v>
      </c>
      <c r="N423" s="2">
        <v>24927.72</v>
      </c>
      <c r="O423" s="2">
        <v>17467.57</v>
      </c>
      <c r="P423" s="1">
        <f>(Sales_Data[[#This Row],[Profit]]/Sales_Data[[#This Row],[Revenue]])</f>
        <v>0.41201675940888716</v>
      </c>
    </row>
    <row r="424" spans="1:16" x14ac:dyDescent="0.35">
      <c r="A424" t="s">
        <v>948</v>
      </c>
      <c r="B424" s="5" t="s">
        <v>409</v>
      </c>
      <c r="C424" s="5" t="s">
        <v>408</v>
      </c>
      <c r="D424" s="5" t="str">
        <f>"Q"&amp;ROUNDUP(MONTH(B424)/3,0)</f>
        <v>Q2</v>
      </c>
      <c r="E424" t="s">
        <v>36</v>
      </c>
      <c r="F424" t="s">
        <v>22</v>
      </c>
      <c r="G424" t="s">
        <v>231</v>
      </c>
      <c r="H424" t="s">
        <v>50</v>
      </c>
      <c r="I424" t="s">
        <v>49</v>
      </c>
      <c r="J424" s="4">
        <v>6</v>
      </c>
      <c r="K424" s="3">
        <v>4747.78</v>
      </c>
      <c r="L424">
        <v>10</v>
      </c>
      <c r="M424" s="2">
        <v>25638.01</v>
      </c>
      <c r="N424" s="2">
        <v>15727.49</v>
      </c>
      <c r="O424" s="2">
        <v>9910.52</v>
      </c>
      <c r="P424" s="1">
        <f>(Sales_Data[[#This Row],[Profit]]/Sales_Data[[#This Row],[Revenue]])</f>
        <v>0.38655574282091321</v>
      </c>
    </row>
    <row r="425" spans="1:16" x14ac:dyDescent="0.35">
      <c r="A425" t="s">
        <v>947</v>
      </c>
      <c r="B425" s="5" t="s">
        <v>943</v>
      </c>
      <c r="C425" s="5" t="s">
        <v>408</v>
      </c>
      <c r="D425" s="5" t="str">
        <f>"Q"&amp;ROUNDUP(MONTH(B425)/3,0)</f>
        <v>Q2</v>
      </c>
      <c r="E425" t="s">
        <v>23</v>
      </c>
      <c r="F425" t="s">
        <v>3</v>
      </c>
      <c r="G425" t="s">
        <v>104</v>
      </c>
      <c r="H425" t="s">
        <v>34</v>
      </c>
      <c r="I425" t="s">
        <v>8</v>
      </c>
      <c r="J425" s="4">
        <v>8</v>
      </c>
      <c r="K425" s="3">
        <v>26157.62</v>
      </c>
      <c r="L425">
        <v>10</v>
      </c>
      <c r="M425" s="2">
        <v>188334.86</v>
      </c>
      <c r="N425" s="2">
        <v>126002.28</v>
      </c>
      <c r="O425" s="2">
        <v>62332.58</v>
      </c>
      <c r="P425" s="1">
        <f>(Sales_Data[[#This Row],[Profit]]/Sales_Data[[#This Row],[Revenue]])</f>
        <v>0.33096676844637263</v>
      </c>
    </row>
    <row r="426" spans="1:16" x14ac:dyDescent="0.35">
      <c r="A426" t="s">
        <v>946</v>
      </c>
      <c r="B426" s="5" t="s">
        <v>945</v>
      </c>
      <c r="C426" s="5" t="s">
        <v>408</v>
      </c>
      <c r="D426" s="5" t="str">
        <f>"Q"&amp;ROUNDUP(MONTH(B426)/3,0)</f>
        <v>Q2</v>
      </c>
      <c r="E426" t="s">
        <v>36</v>
      </c>
      <c r="F426" t="s">
        <v>63</v>
      </c>
      <c r="G426" t="s">
        <v>68</v>
      </c>
      <c r="H426" t="s">
        <v>59</v>
      </c>
      <c r="I426" t="s">
        <v>0</v>
      </c>
      <c r="J426" s="4">
        <v>8</v>
      </c>
      <c r="K426" s="3">
        <v>1601.43</v>
      </c>
      <c r="L426">
        <v>10</v>
      </c>
      <c r="M426" s="2">
        <v>11530.3</v>
      </c>
      <c r="N426" s="2">
        <v>9092.15</v>
      </c>
      <c r="O426" s="2">
        <v>2438.15</v>
      </c>
      <c r="P426" s="1">
        <f>(Sales_Data[[#This Row],[Profit]]/Sales_Data[[#This Row],[Revenue]])</f>
        <v>0.2114559031421559</v>
      </c>
    </row>
    <row r="427" spans="1:16" x14ac:dyDescent="0.35">
      <c r="A427" t="s">
        <v>944</v>
      </c>
      <c r="B427" s="5" t="s">
        <v>943</v>
      </c>
      <c r="C427" s="5" t="s">
        <v>408</v>
      </c>
      <c r="D427" s="5" t="str">
        <f>"Q"&amp;ROUNDUP(MONTH(B427)/3,0)</f>
        <v>Q2</v>
      </c>
      <c r="E427" t="s">
        <v>36</v>
      </c>
      <c r="F427" t="s">
        <v>3</v>
      </c>
      <c r="G427" t="s">
        <v>137</v>
      </c>
      <c r="H427" t="s">
        <v>50</v>
      </c>
      <c r="I427" t="s">
        <v>49</v>
      </c>
      <c r="J427" s="4">
        <v>5</v>
      </c>
      <c r="K427" s="3">
        <v>4189.22</v>
      </c>
      <c r="L427">
        <v>10</v>
      </c>
      <c r="M427" s="2">
        <v>18851.490000000002</v>
      </c>
      <c r="N427" s="2">
        <v>12230.77</v>
      </c>
      <c r="O427" s="2">
        <v>6620.72</v>
      </c>
      <c r="P427" s="1">
        <f>(Sales_Data[[#This Row],[Profit]]/Sales_Data[[#This Row],[Revenue]])</f>
        <v>0.35120406928046533</v>
      </c>
    </row>
    <row r="428" spans="1:16" x14ac:dyDescent="0.35">
      <c r="A428" t="s">
        <v>942</v>
      </c>
      <c r="B428" s="5" t="s">
        <v>704</v>
      </c>
      <c r="C428" s="5" t="s">
        <v>408</v>
      </c>
      <c r="D428" s="5" t="str">
        <f>"Q"&amp;ROUNDUP(MONTH(B428)/3,0)</f>
        <v>Q2</v>
      </c>
      <c r="E428" t="s">
        <v>36</v>
      </c>
      <c r="F428" t="s">
        <v>3</v>
      </c>
      <c r="G428" t="s">
        <v>98</v>
      </c>
      <c r="H428" t="s">
        <v>14</v>
      </c>
      <c r="I428" t="s">
        <v>8</v>
      </c>
      <c r="J428" s="4">
        <v>4</v>
      </c>
      <c r="K428" s="3">
        <v>2600.36</v>
      </c>
      <c r="L428">
        <v>10</v>
      </c>
      <c r="M428" s="2">
        <v>9361.2999999999993</v>
      </c>
      <c r="N428" s="2">
        <v>6326.27</v>
      </c>
      <c r="O428" s="2">
        <v>3035.03</v>
      </c>
      <c r="P428" s="1">
        <f>(Sales_Data[[#This Row],[Profit]]/Sales_Data[[#This Row],[Revenue]])</f>
        <v>0.32421031267024886</v>
      </c>
    </row>
    <row r="429" spans="1:16" x14ac:dyDescent="0.35">
      <c r="A429" t="s">
        <v>941</v>
      </c>
      <c r="B429" s="5" t="s">
        <v>417</v>
      </c>
      <c r="C429" s="5" t="s">
        <v>408</v>
      </c>
      <c r="D429" s="5" t="str">
        <f>"Q"&amp;ROUNDUP(MONTH(B429)/3,0)</f>
        <v>Q2</v>
      </c>
      <c r="E429" t="s">
        <v>23</v>
      </c>
      <c r="F429" t="s">
        <v>56</v>
      </c>
      <c r="G429" t="s">
        <v>309</v>
      </c>
      <c r="H429" t="s">
        <v>111</v>
      </c>
      <c r="I429" t="s">
        <v>49</v>
      </c>
      <c r="J429" s="4">
        <v>3</v>
      </c>
      <c r="K429" s="3">
        <v>7795.47</v>
      </c>
      <c r="L429">
        <v>10</v>
      </c>
      <c r="M429" s="2">
        <v>21047.77</v>
      </c>
      <c r="N429" s="2">
        <v>13433.42</v>
      </c>
      <c r="O429" s="2">
        <v>7614.35</v>
      </c>
      <c r="P429" s="1">
        <f>(Sales_Data[[#This Row],[Profit]]/Sales_Data[[#This Row],[Revenue]])</f>
        <v>0.36176516562087102</v>
      </c>
    </row>
    <row r="430" spans="1:16" x14ac:dyDescent="0.35">
      <c r="A430" t="s">
        <v>940</v>
      </c>
      <c r="B430" s="5" t="s">
        <v>401</v>
      </c>
      <c r="C430" s="5" t="s">
        <v>382</v>
      </c>
      <c r="D430" s="5" t="str">
        <f>"Q"&amp;ROUNDUP(MONTH(B430)/3,0)</f>
        <v>Q3</v>
      </c>
      <c r="E430" t="s">
        <v>36</v>
      </c>
      <c r="F430" t="s">
        <v>52</v>
      </c>
      <c r="G430" t="s">
        <v>35</v>
      </c>
      <c r="H430" t="s">
        <v>78</v>
      </c>
      <c r="I430" t="s">
        <v>19</v>
      </c>
      <c r="J430" s="4">
        <v>2</v>
      </c>
      <c r="K430" s="3">
        <v>124.88</v>
      </c>
      <c r="L430">
        <v>10</v>
      </c>
      <c r="M430" s="2">
        <v>224.78</v>
      </c>
      <c r="N430" s="2">
        <v>144.96</v>
      </c>
      <c r="O430" s="2">
        <v>79.819999999999993</v>
      </c>
      <c r="P430" s="1">
        <f>(Sales_Data[[#This Row],[Profit]]/Sales_Data[[#This Row],[Revenue]])</f>
        <v>0.35510276715010231</v>
      </c>
    </row>
    <row r="431" spans="1:16" x14ac:dyDescent="0.35">
      <c r="A431" t="s">
        <v>939</v>
      </c>
      <c r="B431" s="5" t="s">
        <v>935</v>
      </c>
      <c r="C431" s="5" t="s">
        <v>382</v>
      </c>
      <c r="D431" s="5" t="str">
        <f>"Q"&amp;ROUNDUP(MONTH(B431)/3,0)</f>
        <v>Q3</v>
      </c>
      <c r="E431" t="s">
        <v>23</v>
      </c>
      <c r="F431" t="s">
        <v>63</v>
      </c>
      <c r="G431" t="s">
        <v>231</v>
      </c>
      <c r="H431" t="s">
        <v>20</v>
      </c>
      <c r="I431" t="s">
        <v>19</v>
      </c>
      <c r="J431" s="4">
        <v>4</v>
      </c>
      <c r="K431" s="3">
        <v>30.67</v>
      </c>
      <c r="L431">
        <v>10</v>
      </c>
      <c r="M431" s="2">
        <v>110.41</v>
      </c>
      <c r="N431" s="2">
        <v>87.31</v>
      </c>
      <c r="O431" s="2">
        <v>23.1</v>
      </c>
      <c r="P431" s="1">
        <f>(Sales_Data[[#This Row],[Profit]]/Sales_Data[[#This Row],[Revenue]])</f>
        <v>0.2092201793315823</v>
      </c>
    </row>
    <row r="432" spans="1:16" x14ac:dyDescent="0.35">
      <c r="A432" t="s">
        <v>938</v>
      </c>
      <c r="B432" s="5" t="s">
        <v>692</v>
      </c>
      <c r="C432" s="5" t="s">
        <v>382</v>
      </c>
      <c r="D432" s="5" t="str">
        <f>"Q"&amp;ROUNDUP(MONTH(B432)/3,0)</f>
        <v>Q3</v>
      </c>
      <c r="E432" t="s">
        <v>16</v>
      </c>
      <c r="F432" t="s">
        <v>3</v>
      </c>
      <c r="G432" t="s">
        <v>255</v>
      </c>
      <c r="H432" t="s">
        <v>111</v>
      </c>
      <c r="I432" t="s">
        <v>49</v>
      </c>
      <c r="J432" s="4">
        <v>5</v>
      </c>
      <c r="K432" s="3">
        <v>7538.97</v>
      </c>
      <c r="L432">
        <v>10</v>
      </c>
      <c r="M432" s="2">
        <v>33925.360000000001</v>
      </c>
      <c r="N432" s="2">
        <v>27626.94</v>
      </c>
      <c r="O432" s="2">
        <v>6298.42</v>
      </c>
      <c r="P432" s="1">
        <f>(Sales_Data[[#This Row],[Profit]]/Sales_Data[[#This Row],[Revenue]])</f>
        <v>0.18565521485991601</v>
      </c>
    </row>
    <row r="433" spans="1:16" x14ac:dyDescent="0.35">
      <c r="A433" t="s">
        <v>937</v>
      </c>
      <c r="B433" s="5" t="s">
        <v>393</v>
      </c>
      <c r="C433" s="5" t="s">
        <v>382</v>
      </c>
      <c r="D433" s="5" t="str">
        <f>"Q"&amp;ROUNDUP(MONTH(B433)/3,0)</f>
        <v>Q3</v>
      </c>
      <c r="E433" t="s">
        <v>16</v>
      </c>
      <c r="F433" t="s">
        <v>63</v>
      </c>
      <c r="G433" t="s">
        <v>238</v>
      </c>
      <c r="H433" t="s">
        <v>78</v>
      </c>
      <c r="I433" t="s">
        <v>19</v>
      </c>
      <c r="J433" s="4">
        <v>1</v>
      </c>
      <c r="K433" s="3">
        <v>129.83000000000001</v>
      </c>
      <c r="L433">
        <v>10</v>
      </c>
      <c r="M433" s="2">
        <v>116.85</v>
      </c>
      <c r="N433" s="2">
        <v>96.06</v>
      </c>
      <c r="O433" s="2">
        <v>20.79</v>
      </c>
      <c r="P433" s="1">
        <f>(Sales_Data[[#This Row],[Profit]]/Sales_Data[[#This Row],[Revenue]])</f>
        <v>0.17792041078305521</v>
      </c>
    </row>
    <row r="434" spans="1:16" x14ac:dyDescent="0.35">
      <c r="A434" t="s">
        <v>936</v>
      </c>
      <c r="B434" s="5" t="s">
        <v>935</v>
      </c>
      <c r="C434" s="5" t="s">
        <v>382</v>
      </c>
      <c r="D434" s="5" t="str">
        <f>"Q"&amp;ROUNDUP(MONTH(B434)/3,0)</f>
        <v>Q3</v>
      </c>
      <c r="E434" t="s">
        <v>36</v>
      </c>
      <c r="F434" t="s">
        <v>63</v>
      </c>
      <c r="G434" t="s">
        <v>112</v>
      </c>
      <c r="H434" t="s">
        <v>50</v>
      </c>
      <c r="I434" t="s">
        <v>49</v>
      </c>
      <c r="J434" s="4">
        <v>4</v>
      </c>
      <c r="K434" s="3">
        <v>4774.28</v>
      </c>
      <c r="L434">
        <v>10</v>
      </c>
      <c r="M434" s="2">
        <v>17187.41</v>
      </c>
      <c r="N434" s="2">
        <v>9829.76</v>
      </c>
      <c r="O434" s="2">
        <v>7357.65</v>
      </c>
      <c r="P434" s="1">
        <f>(Sales_Data[[#This Row],[Profit]]/Sales_Data[[#This Row],[Revenue]])</f>
        <v>0.42808369614735436</v>
      </c>
    </row>
    <row r="435" spans="1:16" x14ac:dyDescent="0.35">
      <c r="A435" t="s">
        <v>934</v>
      </c>
      <c r="B435" s="5" t="s">
        <v>672</v>
      </c>
      <c r="C435" s="5" t="s">
        <v>382</v>
      </c>
      <c r="D435" s="5" t="str">
        <f>"Q"&amp;ROUNDUP(MONTH(B435)/3,0)</f>
        <v>Q3</v>
      </c>
      <c r="E435" t="s">
        <v>23</v>
      </c>
      <c r="F435" t="s">
        <v>63</v>
      </c>
      <c r="G435" t="s">
        <v>79</v>
      </c>
      <c r="H435" t="s">
        <v>9</v>
      </c>
      <c r="I435" t="s">
        <v>8</v>
      </c>
      <c r="J435" s="4">
        <v>2</v>
      </c>
      <c r="K435" s="3">
        <v>54059.58</v>
      </c>
      <c r="L435">
        <v>10</v>
      </c>
      <c r="M435" s="2">
        <v>97307.24</v>
      </c>
      <c r="N435" s="2">
        <v>72398.27</v>
      </c>
      <c r="O435" s="2">
        <v>24908.97</v>
      </c>
      <c r="P435" s="1">
        <f>(Sales_Data[[#This Row],[Profit]]/Sales_Data[[#This Row],[Revenue]])</f>
        <v>0.25598269974567156</v>
      </c>
    </row>
    <row r="436" spans="1:16" x14ac:dyDescent="0.35">
      <c r="A436" t="s">
        <v>933</v>
      </c>
      <c r="B436" s="5" t="s">
        <v>385</v>
      </c>
      <c r="C436" s="5" t="s">
        <v>382</v>
      </c>
      <c r="D436" s="5" t="str">
        <f>"Q"&amp;ROUNDUP(MONTH(B436)/3,0)</f>
        <v>Q3</v>
      </c>
      <c r="E436" t="s">
        <v>36</v>
      </c>
      <c r="F436" t="s">
        <v>3</v>
      </c>
      <c r="G436" t="s">
        <v>166</v>
      </c>
      <c r="H436" t="s">
        <v>59</v>
      </c>
      <c r="I436" t="s">
        <v>0</v>
      </c>
      <c r="J436" s="4">
        <v>7</v>
      </c>
      <c r="K436" s="3">
        <v>1365.16</v>
      </c>
      <c r="L436">
        <v>10</v>
      </c>
      <c r="M436" s="2">
        <v>8600.51</v>
      </c>
      <c r="N436" s="2">
        <v>5757.73</v>
      </c>
      <c r="O436" s="2">
        <v>2842.78</v>
      </c>
      <c r="P436" s="1">
        <f>(Sales_Data[[#This Row],[Profit]]/Sales_Data[[#This Row],[Revenue]])</f>
        <v>0.33053621238740494</v>
      </c>
    </row>
    <row r="437" spans="1:16" x14ac:dyDescent="0.35">
      <c r="A437" t="s">
        <v>932</v>
      </c>
      <c r="B437" s="5" t="s">
        <v>389</v>
      </c>
      <c r="C437" s="5" t="s">
        <v>382</v>
      </c>
      <c r="D437" s="5" t="str">
        <f>"Q"&amp;ROUNDUP(MONTH(B437)/3,0)</f>
        <v>Q3</v>
      </c>
      <c r="E437" t="s">
        <v>16</v>
      </c>
      <c r="F437" t="s">
        <v>11</v>
      </c>
      <c r="G437" t="s">
        <v>264</v>
      </c>
      <c r="H437" t="s">
        <v>50</v>
      </c>
      <c r="I437" t="s">
        <v>49</v>
      </c>
      <c r="J437" s="4">
        <v>8</v>
      </c>
      <c r="K437" s="3">
        <v>4185.8500000000004</v>
      </c>
      <c r="L437">
        <v>10</v>
      </c>
      <c r="M437" s="2">
        <v>30138.12</v>
      </c>
      <c r="N437" s="2">
        <v>16611.060000000001</v>
      </c>
      <c r="O437" s="2">
        <v>13527.06</v>
      </c>
      <c r="P437" s="1">
        <f>(Sales_Data[[#This Row],[Profit]]/Sales_Data[[#This Row],[Revenue]])</f>
        <v>0.44883556107680239</v>
      </c>
    </row>
    <row r="438" spans="1:16" x14ac:dyDescent="0.35">
      <c r="A438" t="s">
        <v>931</v>
      </c>
      <c r="B438" s="5" t="s">
        <v>679</v>
      </c>
      <c r="C438" s="5" t="s">
        <v>382</v>
      </c>
      <c r="D438" s="5" t="str">
        <f>"Q"&amp;ROUNDUP(MONTH(B438)/3,0)</f>
        <v>Q3</v>
      </c>
      <c r="E438" t="s">
        <v>16</v>
      </c>
      <c r="F438" t="s">
        <v>22</v>
      </c>
      <c r="G438" t="s">
        <v>95</v>
      </c>
      <c r="H438" t="s">
        <v>50</v>
      </c>
      <c r="I438" t="s">
        <v>49</v>
      </c>
      <c r="J438" s="4">
        <v>2</v>
      </c>
      <c r="K438" s="3">
        <v>4066.14</v>
      </c>
      <c r="L438">
        <v>10</v>
      </c>
      <c r="M438" s="2">
        <v>7319.05</v>
      </c>
      <c r="N438" s="2">
        <v>5950.23</v>
      </c>
      <c r="O438" s="2">
        <v>1368.82</v>
      </c>
      <c r="P438" s="1">
        <f>(Sales_Data[[#This Row],[Profit]]/Sales_Data[[#This Row],[Revenue]])</f>
        <v>0.18702153968069626</v>
      </c>
    </row>
    <row r="439" spans="1:16" x14ac:dyDescent="0.35">
      <c r="A439" t="s">
        <v>930</v>
      </c>
      <c r="B439" s="5" t="s">
        <v>403</v>
      </c>
      <c r="C439" s="5" t="s">
        <v>382</v>
      </c>
      <c r="D439" s="5" t="str">
        <f>"Q"&amp;ROUNDUP(MONTH(B439)/3,0)</f>
        <v>Q3</v>
      </c>
      <c r="E439" t="s">
        <v>36</v>
      </c>
      <c r="F439" t="s">
        <v>22</v>
      </c>
      <c r="G439" t="s">
        <v>112</v>
      </c>
      <c r="H439" t="s">
        <v>59</v>
      </c>
      <c r="I439" t="s">
        <v>0</v>
      </c>
      <c r="J439" s="4">
        <v>1</v>
      </c>
      <c r="K439" s="3">
        <v>1581.43</v>
      </c>
      <c r="L439">
        <v>10</v>
      </c>
      <c r="M439" s="2">
        <v>1423.29</v>
      </c>
      <c r="N439" s="2">
        <v>891.98</v>
      </c>
      <c r="O439" s="2">
        <v>531.30999999999995</v>
      </c>
      <c r="P439" s="1">
        <f>(Sales_Data[[#This Row],[Profit]]/Sales_Data[[#This Row],[Revenue]])</f>
        <v>0.37329707930218015</v>
      </c>
    </row>
    <row r="440" spans="1:16" x14ac:dyDescent="0.35">
      <c r="A440" t="s">
        <v>929</v>
      </c>
      <c r="B440" s="5" t="s">
        <v>668</v>
      </c>
      <c r="C440" s="5" t="s">
        <v>382</v>
      </c>
      <c r="D440" s="5" t="str">
        <f>"Q"&amp;ROUNDUP(MONTH(B440)/3,0)</f>
        <v>Q3</v>
      </c>
      <c r="E440" t="s">
        <v>36</v>
      </c>
      <c r="F440" t="s">
        <v>52</v>
      </c>
      <c r="G440" t="s">
        <v>294</v>
      </c>
      <c r="H440" t="s">
        <v>50</v>
      </c>
      <c r="I440" t="s">
        <v>49</v>
      </c>
      <c r="J440" s="4">
        <v>8</v>
      </c>
      <c r="K440" s="3">
        <v>4565.5600000000004</v>
      </c>
      <c r="L440">
        <v>10</v>
      </c>
      <c r="M440" s="2">
        <v>32872.03</v>
      </c>
      <c r="N440" s="2">
        <v>22468.77</v>
      </c>
      <c r="O440" s="2">
        <v>10403.26</v>
      </c>
      <c r="P440" s="1">
        <f>(Sales_Data[[#This Row],[Profit]]/Sales_Data[[#This Row],[Revenue]])</f>
        <v>0.31647756466515758</v>
      </c>
    </row>
    <row r="441" spans="1:16" x14ac:dyDescent="0.35">
      <c r="A441" t="s">
        <v>928</v>
      </c>
      <c r="B441" s="5" t="s">
        <v>387</v>
      </c>
      <c r="C441" s="5" t="s">
        <v>382</v>
      </c>
      <c r="D441" s="5" t="str">
        <f>"Q"&amp;ROUNDUP(MONTH(B441)/3,0)</f>
        <v>Q3</v>
      </c>
      <c r="E441" t="s">
        <v>16</v>
      </c>
      <c r="F441" t="s">
        <v>11</v>
      </c>
      <c r="G441" t="s">
        <v>112</v>
      </c>
      <c r="H441" t="s">
        <v>9</v>
      </c>
      <c r="I441" t="s">
        <v>8</v>
      </c>
      <c r="J441" s="4">
        <v>2</v>
      </c>
      <c r="K441" s="3">
        <v>60263.519999999997</v>
      </c>
      <c r="L441">
        <v>10</v>
      </c>
      <c r="M441" s="2">
        <v>108474.34</v>
      </c>
      <c r="N441" s="2">
        <v>64171.86</v>
      </c>
      <c r="O441" s="2">
        <v>44302.48</v>
      </c>
      <c r="P441" s="1">
        <f>(Sales_Data[[#This Row],[Profit]]/Sales_Data[[#This Row],[Revenue]])</f>
        <v>0.40841437707756512</v>
      </c>
    </row>
    <row r="442" spans="1:16" x14ac:dyDescent="0.35">
      <c r="A442" t="s">
        <v>927</v>
      </c>
      <c r="B442" s="5" t="s">
        <v>401</v>
      </c>
      <c r="C442" s="5" t="s">
        <v>382</v>
      </c>
      <c r="D442" s="5" t="str">
        <f>"Q"&amp;ROUNDUP(MONTH(B442)/3,0)</f>
        <v>Q3</v>
      </c>
      <c r="E442" t="s">
        <v>4</v>
      </c>
      <c r="F442" t="s">
        <v>63</v>
      </c>
      <c r="G442" t="s">
        <v>31</v>
      </c>
      <c r="H442" t="s">
        <v>59</v>
      </c>
      <c r="I442" t="s">
        <v>0</v>
      </c>
      <c r="J442" s="4">
        <v>7</v>
      </c>
      <c r="K442" s="3">
        <v>1597.35</v>
      </c>
      <c r="L442">
        <v>10</v>
      </c>
      <c r="M442" s="2">
        <v>10063.299999999999</v>
      </c>
      <c r="N442" s="2">
        <v>6996.52</v>
      </c>
      <c r="O442" s="2">
        <v>3066.78</v>
      </c>
      <c r="P442" s="1">
        <f>(Sales_Data[[#This Row],[Profit]]/Sales_Data[[#This Row],[Revenue]])</f>
        <v>0.30474893921477053</v>
      </c>
    </row>
    <row r="443" spans="1:16" x14ac:dyDescent="0.35">
      <c r="A443" t="s">
        <v>926</v>
      </c>
      <c r="B443" s="5" t="s">
        <v>925</v>
      </c>
      <c r="C443" s="5" t="s">
        <v>382</v>
      </c>
      <c r="D443" s="5" t="str">
        <f>"Q"&amp;ROUNDUP(MONTH(B443)/3,0)</f>
        <v>Q3</v>
      </c>
      <c r="E443" t="s">
        <v>4</v>
      </c>
      <c r="F443" t="s">
        <v>52</v>
      </c>
      <c r="G443" t="s">
        <v>309</v>
      </c>
      <c r="H443" t="s">
        <v>34</v>
      </c>
      <c r="I443" t="s">
        <v>8</v>
      </c>
      <c r="J443" s="4">
        <v>4</v>
      </c>
      <c r="K443" s="3">
        <v>23713.9</v>
      </c>
      <c r="L443">
        <v>10</v>
      </c>
      <c r="M443" s="2">
        <v>85370.04</v>
      </c>
      <c r="N443" s="2">
        <v>65362.63</v>
      </c>
      <c r="O443" s="2">
        <v>20007.41</v>
      </c>
      <c r="P443" s="1">
        <f>(Sales_Data[[#This Row],[Profit]]/Sales_Data[[#This Row],[Revenue]])</f>
        <v>0.23436102407823636</v>
      </c>
    </row>
    <row r="444" spans="1:16" x14ac:dyDescent="0.35">
      <c r="A444" t="s">
        <v>924</v>
      </c>
      <c r="B444" s="5" t="s">
        <v>923</v>
      </c>
      <c r="C444" s="5" t="s">
        <v>382</v>
      </c>
      <c r="D444" s="5" t="str">
        <f>"Q"&amp;ROUNDUP(MONTH(B444)/3,0)</f>
        <v>Q3</v>
      </c>
      <c r="E444" t="s">
        <v>4</v>
      </c>
      <c r="F444" t="s">
        <v>63</v>
      </c>
      <c r="G444" t="s">
        <v>21</v>
      </c>
      <c r="H444" t="s">
        <v>1</v>
      </c>
      <c r="I444" t="s">
        <v>0</v>
      </c>
      <c r="J444" s="4">
        <v>6</v>
      </c>
      <c r="K444" s="3">
        <v>545.97</v>
      </c>
      <c r="L444">
        <v>10</v>
      </c>
      <c r="M444" s="2">
        <v>2948.24</v>
      </c>
      <c r="N444" s="2">
        <v>1890.87</v>
      </c>
      <c r="O444" s="2">
        <v>1057.3699999999999</v>
      </c>
      <c r="P444" s="1">
        <f>(Sales_Data[[#This Row],[Profit]]/Sales_Data[[#This Row],[Revenue]])</f>
        <v>0.35864447941822919</v>
      </c>
    </row>
    <row r="445" spans="1:16" x14ac:dyDescent="0.35">
      <c r="A445" t="s">
        <v>922</v>
      </c>
      <c r="B445" s="5" t="s">
        <v>370</v>
      </c>
      <c r="C445" s="5" t="s">
        <v>350</v>
      </c>
      <c r="D445" s="5" t="str">
        <f>"Q"&amp;ROUNDUP(MONTH(B445)/3,0)</f>
        <v>Q4</v>
      </c>
      <c r="E445" t="s">
        <v>23</v>
      </c>
      <c r="F445" t="s">
        <v>3</v>
      </c>
      <c r="G445" t="s">
        <v>10</v>
      </c>
      <c r="H445" t="s">
        <v>59</v>
      </c>
      <c r="I445" t="s">
        <v>0</v>
      </c>
      <c r="J445" s="4">
        <v>4</v>
      </c>
      <c r="K445" s="3">
        <v>1597.13</v>
      </c>
      <c r="L445">
        <v>10</v>
      </c>
      <c r="M445" s="2">
        <v>5749.67</v>
      </c>
      <c r="N445" s="2">
        <v>3220.14</v>
      </c>
      <c r="O445" s="2">
        <v>2529.5300000000002</v>
      </c>
      <c r="P445" s="1">
        <f>(Sales_Data[[#This Row],[Profit]]/Sales_Data[[#This Row],[Revenue]])</f>
        <v>0.4399435098014321</v>
      </c>
    </row>
    <row r="446" spans="1:16" x14ac:dyDescent="0.35">
      <c r="A446" t="s">
        <v>921</v>
      </c>
      <c r="B446" s="5" t="s">
        <v>361</v>
      </c>
      <c r="C446" s="5" t="s">
        <v>350</v>
      </c>
      <c r="D446" s="5" t="str">
        <f>"Q"&amp;ROUNDUP(MONTH(B446)/3,0)</f>
        <v>Q4</v>
      </c>
      <c r="E446" t="s">
        <v>36</v>
      </c>
      <c r="F446" t="s">
        <v>52</v>
      </c>
      <c r="G446" t="s">
        <v>46</v>
      </c>
      <c r="H446" t="s">
        <v>45</v>
      </c>
      <c r="I446" t="s">
        <v>8</v>
      </c>
      <c r="J446" s="4">
        <v>6</v>
      </c>
      <c r="K446" s="3">
        <v>884.34</v>
      </c>
      <c r="L446">
        <v>10</v>
      </c>
      <c r="M446" s="2">
        <v>4775.4399999999996</v>
      </c>
      <c r="N446" s="2">
        <v>2923.91</v>
      </c>
      <c r="O446" s="2">
        <v>1851.53</v>
      </c>
      <c r="P446" s="1">
        <f>(Sales_Data[[#This Row],[Profit]]/Sales_Data[[#This Row],[Revenue]])</f>
        <v>0.38771924681285913</v>
      </c>
    </row>
    <row r="447" spans="1:16" x14ac:dyDescent="0.35">
      <c r="A447" t="s">
        <v>920</v>
      </c>
      <c r="B447" s="5" t="s">
        <v>377</v>
      </c>
      <c r="C447" s="5" t="s">
        <v>350</v>
      </c>
      <c r="D447" s="5" t="str">
        <f>"Q"&amp;ROUNDUP(MONTH(B447)/3,0)</f>
        <v>Q4</v>
      </c>
      <c r="E447" t="s">
        <v>23</v>
      </c>
      <c r="F447" t="s">
        <v>3</v>
      </c>
      <c r="G447" t="s">
        <v>92</v>
      </c>
      <c r="H447" t="s">
        <v>59</v>
      </c>
      <c r="I447" t="s">
        <v>0</v>
      </c>
      <c r="J447" s="4">
        <v>4</v>
      </c>
      <c r="K447" s="3">
        <v>1584.06</v>
      </c>
      <c r="L447">
        <v>10</v>
      </c>
      <c r="M447" s="2">
        <v>5702.62</v>
      </c>
      <c r="N447" s="2">
        <v>4210.88</v>
      </c>
      <c r="O447" s="2">
        <v>1491.74</v>
      </c>
      <c r="P447" s="1">
        <f>(Sales_Data[[#This Row],[Profit]]/Sales_Data[[#This Row],[Revenue]])</f>
        <v>0.26158853299009932</v>
      </c>
    </row>
    <row r="448" spans="1:16" x14ac:dyDescent="0.35">
      <c r="A448" t="s">
        <v>919</v>
      </c>
      <c r="B448" s="5" t="s">
        <v>355</v>
      </c>
      <c r="C448" s="5" t="s">
        <v>350</v>
      </c>
      <c r="D448" s="5" t="str">
        <f>"Q"&amp;ROUNDUP(MONTH(B448)/3,0)</f>
        <v>Q4</v>
      </c>
      <c r="E448" t="s">
        <v>36</v>
      </c>
      <c r="F448" t="s">
        <v>3</v>
      </c>
      <c r="G448" t="s">
        <v>166</v>
      </c>
      <c r="H448" t="s">
        <v>9</v>
      </c>
      <c r="I448" t="s">
        <v>8</v>
      </c>
      <c r="J448" s="4">
        <v>1</v>
      </c>
      <c r="K448" s="3">
        <v>56430.87</v>
      </c>
      <c r="L448">
        <v>10</v>
      </c>
      <c r="M448" s="2">
        <v>50787.78</v>
      </c>
      <c r="N448" s="2">
        <v>31857.37</v>
      </c>
      <c r="O448" s="2">
        <v>18930.41</v>
      </c>
      <c r="P448" s="1">
        <f>(Sales_Data[[#This Row],[Profit]]/Sales_Data[[#This Row],[Revenue]])</f>
        <v>0.37273552811325877</v>
      </c>
    </row>
    <row r="449" spans="1:16" x14ac:dyDescent="0.35">
      <c r="A449" t="s">
        <v>918</v>
      </c>
      <c r="B449" s="5" t="s">
        <v>363</v>
      </c>
      <c r="C449" s="5" t="s">
        <v>350</v>
      </c>
      <c r="D449" s="5" t="str">
        <f>"Q"&amp;ROUNDUP(MONTH(B449)/3,0)</f>
        <v>Q4</v>
      </c>
      <c r="E449" t="s">
        <v>4</v>
      </c>
      <c r="F449" t="s">
        <v>56</v>
      </c>
      <c r="G449" t="s">
        <v>255</v>
      </c>
      <c r="H449" t="s">
        <v>111</v>
      </c>
      <c r="I449" t="s">
        <v>49</v>
      </c>
      <c r="J449" s="4">
        <v>8</v>
      </c>
      <c r="K449" s="3">
        <v>8387.8700000000008</v>
      </c>
      <c r="L449">
        <v>10</v>
      </c>
      <c r="M449" s="2">
        <v>60392.66</v>
      </c>
      <c r="N449" s="2">
        <v>36787.75</v>
      </c>
      <c r="O449" s="2">
        <v>23604.91</v>
      </c>
      <c r="P449" s="1">
        <f>(Sales_Data[[#This Row],[Profit]]/Sales_Data[[#This Row],[Revenue]])</f>
        <v>0.39085726642939717</v>
      </c>
    </row>
    <row r="450" spans="1:16" x14ac:dyDescent="0.35">
      <c r="A450" t="s">
        <v>917</v>
      </c>
      <c r="B450" s="5" t="s">
        <v>908</v>
      </c>
      <c r="C450" s="5" t="s">
        <v>350</v>
      </c>
      <c r="D450" s="5" t="str">
        <f>"Q"&amp;ROUNDUP(MONTH(B450)/3,0)</f>
        <v>Q4</v>
      </c>
      <c r="E450" t="s">
        <v>4</v>
      </c>
      <c r="F450" t="s">
        <v>63</v>
      </c>
      <c r="G450" t="s">
        <v>309</v>
      </c>
      <c r="H450" t="s">
        <v>111</v>
      </c>
      <c r="I450" t="s">
        <v>49</v>
      </c>
      <c r="J450" s="4">
        <v>4</v>
      </c>
      <c r="K450" s="3">
        <v>8218.25</v>
      </c>
      <c r="L450">
        <v>10</v>
      </c>
      <c r="M450" s="2">
        <v>29585.7</v>
      </c>
      <c r="N450" s="2">
        <v>20916.55</v>
      </c>
      <c r="O450" s="2">
        <v>8669.15</v>
      </c>
      <c r="P450" s="1">
        <f>(Sales_Data[[#This Row],[Profit]]/Sales_Data[[#This Row],[Revenue]])</f>
        <v>0.29301824868095055</v>
      </c>
    </row>
    <row r="451" spans="1:16" x14ac:dyDescent="0.35">
      <c r="A451" t="s">
        <v>916</v>
      </c>
      <c r="B451" s="5" t="s">
        <v>656</v>
      </c>
      <c r="C451" s="5" t="s">
        <v>350</v>
      </c>
      <c r="D451" s="5" t="str">
        <f>"Q"&amp;ROUNDUP(MONTH(B451)/3,0)</f>
        <v>Q4</v>
      </c>
      <c r="E451" t="s">
        <v>16</v>
      </c>
      <c r="F451" t="s">
        <v>11</v>
      </c>
      <c r="G451" t="s">
        <v>150</v>
      </c>
      <c r="H451" t="s">
        <v>1</v>
      </c>
      <c r="I451" t="s">
        <v>0</v>
      </c>
      <c r="J451" s="4">
        <v>8</v>
      </c>
      <c r="K451" s="3">
        <v>463.52</v>
      </c>
      <c r="L451">
        <v>10</v>
      </c>
      <c r="M451" s="2">
        <v>3337.34</v>
      </c>
      <c r="N451" s="2">
        <v>2326.92</v>
      </c>
      <c r="O451" s="2">
        <v>1010.42</v>
      </c>
      <c r="P451" s="1">
        <f>(Sales_Data[[#This Row],[Profit]]/Sales_Data[[#This Row],[Revenue]])</f>
        <v>0.30276207997986415</v>
      </c>
    </row>
    <row r="452" spans="1:16" x14ac:dyDescent="0.35">
      <c r="A452" t="s">
        <v>915</v>
      </c>
      <c r="B452" s="5" t="s">
        <v>351</v>
      </c>
      <c r="C452" s="5" t="s">
        <v>350</v>
      </c>
      <c r="D452" s="5" t="str">
        <f>"Q"&amp;ROUNDUP(MONTH(B452)/3,0)</f>
        <v>Q4</v>
      </c>
      <c r="E452" t="s">
        <v>4</v>
      </c>
      <c r="F452" t="s">
        <v>63</v>
      </c>
      <c r="G452" t="s">
        <v>31</v>
      </c>
      <c r="H452" t="s">
        <v>20</v>
      </c>
      <c r="I452" t="s">
        <v>19</v>
      </c>
      <c r="J452" s="4">
        <v>3</v>
      </c>
      <c r="K452" s="3">
        <v>30.93</v>
      </c>
      <c r="L452">
        <v>10</v>
      </c>
      <c r="M452" s="2">
        <v>83.51</v>
      </c>
      <c r="N452" s="2">
        <v>58.22</v>
      </c>
      <c r="O452" s="2">
        <v>25.29</v>
      </c>
      <c r="P452" s="1">
        <f>(Sales_Data[[#This Row],[Profit]]/Sales_Data[[#This Row],[Revenue]])</f>
        <v>0.30283798347503288</v>
      </c>
    </row>
    <row r="453" spans="1:16" x14ac:dyDescent="0.35">
      <c r="A453" t="s">
        <v>914</v>
      </c>
      <c r="B453" s="5" t="s">
        <v>357</v>
      </c>
      <c r="C453" s="5" t="s">
        <v>350</v>
      </c>
      <c r="D453" s="5" t="str">
        <f>"Q"&amp;ROUNDUP(MONTH(B453)/3,0)</f>
        <v>Q4</v>
      </c>
      <c r="E453" t="s">
        <v>4</v>
      </c>
      <c r="F453" t="s">
        <v>11</v>
      </c>
      <c r="G453" t="s">
        <v>66</v>
      </c>
      <c r="H453" t="s">
        <v>9</v>
      </c>
      <c r="I453" t="s">
        <v>8</v>
      </c>
      <c r="J453" s="4">
        <v>2</v>
      </c>
      <c r="K453" s="3">
        <v>57971.28</v>
      </c>
      <c r="L453">
        <v>10</v>
      </c>
      <c r="M453" s="2">
        <v>104348.3</v>
      </c>
      <c r="N453" s="2">
        <v>72894.75</v>
      </c>
      <c r="O453" s="2">
        <v>31453.55</v>
      </c>
      <c r="P453" s="1">
        <f>(Sales_Data[[#This Row],[Profit]]/Sales_Data[[#This Row],[Revenue]])</f>
        <v>0.30142848517896315</v>
      </c>
    </row>
    <row r="454" spans="1:16" x14ac:dyDescent="0.35">
      <c r="A454" t="s">
        <v>913</v>
      </c>
      <c r="B454" s="5" t="s">
        <v>380</v>
      </c>
      <c r="C454" s="5" t="s">
        <v>350</v>
      </c>
      <c r="D454" s="5" t="str">
        <f>"Q"&amp;ROUNDUP(MONTH(B454)/3,0)</f>
        <v>Q4</v>
      </c>
      <c r="E454" t="s">
        <v>36</v>
      </c>
      <c r="F454" t="s">
        <v>3</v>
      </c>
      <c r="G454" t="s">
        <v>46</v>
      </c>
      <c r="H454" t="s">
        <v>1</v>
      </c>
      <c r="I454" t="s">
        <v>0</v>
      </c>
      <c r="J454" s="4">
        <v>3</v>
      </c>
      <c r="K454" s="3">
        <v>506.26</v>
      </c>
      <c r="L454">
        <v>10</v>
      </c>
      <c r="M454" s="2">
        <v>1366.9</v>
      </c>
      <c r="N454" s="2">
        <v>1068.3399999999999</v>
      </c>
      <c r="O454" s="2">
        <v>298.56</v>
      </c>
      <c r="P454" s="1">
        <f>(Sales_Data[[#This Row],[Profit]]/Sales_Data[[#This Row],[Revenue]])</f>
        <v>0.2184212451532665</v>
      </c>
    </row>
    <row r="455" spans="1:16" x14ac:dyDescent="0.35">
      <c r="A455" t="s">
        <v>912</v>
      </c>
      <c r="B455" s="5" t="s">
        <v>650</v>
      </c>
      <c r="C455" s="5" t="s">
        <v>350</v>
      </c>
      <c r="D455" s="5" t="str">
        <f>"Q"&amp;ROUNDUP(MONTH(B455)/3,0)</f>
        <v>Q4</v>
      </c>
      <c r="E455" t="s">
        <v>23</v>
      </c>
      <c r="F455" t="s">
        <v>63</v>
      </c>
      <c r="G455" t="s">
        <v>169</v>
      </c>
      <c r="H455" t="s">
        <v>50</v>
      </c>
      <c r="I455" t="s">
        <v>49</v>
      </c>
      <c r="J455" s="4">
        <v>1</v>
      </c>
      <c r="K455" s="3">
        <v>4286.3</v>
      </c>
      <c r="L455">
        <v>10</v>
      </c>
      <c r="M455" s="2">
        <v>3857.67</v>
      </c>
      <c r="N455" s="2">
        <v>2414.42</v>
      </c>
      <c r="O455" s="2">
        <v>1443.25</v>
      </c>
      <c r="P455" s="1">
        <f>(Sales_Data[[#This Row],[Profit]]/Sales_Data[[#This Row],[Revenue]])</f>
        <v>0.37412479553720251</v>
      </c>
    </row>
    <row r="456" spans="1:16" x14ac:dyDescent="0.35">
      <c r="A456" t="s">
        <v>911</v>
      </c>
      <c r="B456" s="5" t="s">
        <v>910</v>
      </c>
      <c r="C456" s="5" t="s">
        <v>350</v>
      </c>
      <c r="D456" s="5" t="str">
        <f>"Q"&amp;ROUNDUP(MONTH(B456)/3,0)</f>
        <v>Q4</v>
      </c>
      <c r="E456" t="s">
        <v>4</v>
      </c>
      <c r="F456" t="s">
        <v>63</v>
      </c>
      <c r="G456" t="s">
        <v>51</v>
      </c>
      <c r="H456" t="s">
        <v>50</v>
      </c>
      <c r="I456" t="s">
        <v>49</v>
      </c>
      <c r="J456" s="4">
        <v>8</v>
      </c>
      <c r="K456" s="3">
        <v>4451.25</v>
      </c>
      <c r="L456">
        <v>10</v>
      </c>
      <c r="M456" s="2">
        <v>32049</v>
      </c>
      <c r="N456" s="2">
        <v>20311.52</v>
      </c>
      <c r="O456" s="2">
        <v>11737.48</v>
      </c>
      <c r="P456" s="1">
        <f>(Sales_Data[[#This Row],[Profit]]/Sales_Data[[#This Row],[Revenue]])</f>
        <v>0.36623545196417984</v>
      </c>
    </row>
    <row r="457" spans="1:16" x14ac:dyDescent="0.35">
      <c r="A457" t="s">
        <v>909</v>
      </c>
      <c r="B457" s="5" t="s">
        <v>908</v>
      </c>
      <c r="C457" s="5" t="s">
        <v>350</v>
      </c>
      <c r="D457" s="5" t="str">
        <f>"Q"&amp;ROUNDUP(MONTH(B457)/3,0)</f>
        <v>Q4</v>
      </c>
      <c r="E457" t="s">
        <v>23</v>
      </c>
      <c r="F457" t="s">
        <v>63</v>
      </c>
      <c r="G457" t="s">
        <v>255</v>
      </c>
      <c r="H457" t="s">
        <v>34</v>
      </c>
      <c r="I457" t="s">
        <v>8</v>
      </c>
      <c r="J457" s="4">
        <v>1</v>
      </c>
      <c r="K457" s="3">
        <v>23980.9</v>
      </c>
      <c r="L457">
        <v>10</v>
      </c>
      <c r="M457" s="2">
        <v>21582.81</v>
      </c>
      <c r="N457" s="2">
        <v>16994.27</v>
      </c>
      <c r="O457" s="2">
        <v>4588.54</v>
      </c>
      <c r="P457" s="1">
        <f>(Sales_Data[[#This Row],[Profit]]/Sales_Data[[#This Row],[Revenue]])</f>
        <v>0.21260160284967525</v>
      </c>
    </row>
    <row r="458" spans="1:16" x14ac:dyDescent="0.35">
      <c r="A458" t="s">
        <v>907</v>
      </c>
      <c r="B458" s="5" t="s">
        <v>656</v>
      </c>
      <c r="C458" s="5" t="s">
        <v>350</v>
      </c>
      <c r="D458" s="5" t="str">
        <f>"Q"&amp;ROUNDUP(MONTH(B458)/3,0)</f>
        <v>Q4</v>
      </c>
      <c r="E458" t="s">
        <v>36</v>
      </c>
      <c r="F458" t="s">
        <v>11</v>
      </c>
      <c r="G458" t="s">
        <v>112</v>
      </c>
      <c r="H458" t="s">
        <v>20</v>
      </c>
      <c r="I458" t="s">
        <v>19</v>
      </c>
      <c r="J458" s="4">
        <v>6</v>
      </c>
      <c r="K458" s="3">
        <v>31.47</v>
      </c>
      <c r="L458">
        <v>10</v>
      </c>
      <c r="M458" s="2">
        <v>169.94</v>
      </c>
      <c r="N458" s="2">
        <v>124.8</v>
      </c>
      <c r="O458" s="2">
        <v>45.14</v>
      </c>
      <c r="P458" s="1">
        <f>(Sales_Data[[#This Row],[Profit]]/Sales_Data[[#This Row],[Revenue]])</f>
        <v>0.2656231611156879</v>
      </c>
    </row>
    <row r="459" spans="1:16" x14ac:dyDescent="0.35">
      <c r="A459" t="s">
        <v>906</v>
      </c>
      <c r="B459" s="5" t="s">
        <v>311</v>
      </c>
      <c r="C459" s="5" t="s">
        <v>310</v>
      </c>
      <c r="D459" s="5" t="str">
        <f>"Q"&amp;ROUNDUP(MONTH(B459)/3,0)</f>
        <v>Q1</v>
      </c>
      <c r="E459" t="s">
        <v>23</v>
      </c>
      <c r="F459" t="s">
        <v>63</v>
      </c>
      <c r="G459" t="s">
        <v>112</v>
      </c>
      <c r="H459" t="s">
        <v>14</v>
      </c>
      <c r="I459" t="s">
        <v>8</v>
      </c>
      <c r="J459" s="4">
        <v>4</v>
      </c>
      <c r="K459" s="3">
        <v>2743.08</v>
      </c>
      <c r="L459">
        <v>10</v>
      </c>
      <c r="M459" s="2">
        <v>9875.09</v>
      </c>
      <c r="N459" s="2">
        <v>7235.43</v>
      </c>
      <c r="O459" s="2">
        <v>2639.66</v>
      </c>
      <c r="P459" s="1">
        <f>(Sales_Data[[#This Row],[Profit]]/Sales_Data[[#This Row],[Revenue]])</f>
        <v>0.26730490557554409</v>
      </c>
    </row>
    <row r="460" spans="1:16" x14ac:dyDescent="0.35">
      <c r="A460" t="s">
        <v>905</v>
      </c>
      <c r="B460" s="5" t="s">
        <v>317</v>
      </c>
      <c r="C460" s="5" t="s">
        <v>310</v>
      </c>
      <c r="D460" s="5" t="str">
        <f>"Q"&amp;ROUNDUP(MONTH(B460)/3,0)</f>
        <v>Q1</v>
      </c>
      <c r="E460" t="s">
        <v>16</v>
      </c>
      <c r="F460" t="s">
        <v>56</v>
      </c>
      <c r="G460" t="s">
        <v>220</v>
      </c>
      <c r="H460" t="s">
        <v>34</v>
      </c>
      <c r="I460" t="s">
        <v>8</v>
      </c>
      <c r="J460" s="4">
        <v>1</v>
      </c>
      <c r="K460" s="3">
        <v>27334.37</v>
      </c>
      <c r="L460">
        <v>10</v>
      </c>
      <c r="M460" s="2">
        <v>24600.93</v>
      </c>
      <c r="N460" s="2">
        <v>15701.26</v>
      </c>
      <c r="O460" s="2">
        <v>8899.67</v>
      </c>
      <c r="P460" s="1">
        <f>(Sales_Data[[#This Row],[Profit]]/Sales_Data[[#This Row],[Revenue]])</f>
        <v>0.36176152690162527</v>
      </c>
    </row>
    <row r="461" spans="1:16" x14ac:dyDescent="0.35">
      <c r="A461" t="s">
        <v>904</v>
      </c>
      <c r="B461" s="5" t="s">
        <v>903</v>
      </c>
      <c r="C461" s="5" t="s">
        <v>310</v>
      </c>
      <c r="D461" s="5" t="str">
        <f>"Q"&amp;ROUNDUP(MONTH(B461)/3,0)</f>
        <v>Q1</v>
      </c>
      <c r="E461" t="s">
        <v>23</v>
      </c>
      <c r="F461" t="s">
        <v>52</v>
      </c>
      <c r="G461" t="s">
        <v>2</v>
      </c>
      <c r="H461" t="s">
        <v>45</v>
      </c>
      <c r="I461" t="s">
        <v>8</v>
      </c>
      <c r="J461" s="4">
        <v>4</v>
      </c>
      <c r="K461" s="3">
        <v>860.61</v>
      </c>
      <c r="L461">
        <v>10</v>
      </c>
      <c r="M461" s="2">
        <v>3098.2</v>
      </c>
      <c r="N461" s="2">
        <v>1723.48</v>
      </c>
      <c r="O461" s="2">
        <v>1374.72</v>
      </c>
      <c r="P461" s="1">
        <f>(Sales_Data[[#This Row],[Profit]]/Sales_Data[[#This Row],[Revenue]])</f>
        <v>0.44371570589374482</v>
      </c>
    </row>
    <row r="462" spans="1:16" x14ac:dyDescent="0.35">
      <c r="A462" t="s">
        <v>902</v>
      </c>
      <c r="B462" s="5" t="s">
        <v>633</v>
      </c>
      <c r="C462" s="5" t="s">
        <v>310</v>
      </c>
      <c r="D462" s="5" t="str">
        <f>"Q"&amp;ROUNDUP(MONTH(B462)/3,0)</f>
        <v>Q1</v>
      </c>
      <c r="E462" t="s">
        <v>36</v>
      </c>
      <c r="F462" t="s">
        <v>63</v>
      </c>
      <c r="G462" t="s">
        <v>264</v>
      </c>
      <c r="H462" t="s">
        <v>59</v>
      </c>
      <c r="I462" t="s">
        <v>0</v>
      </c>
      <c r="J462" s="4">
        <v>2</v>
      </c>
      <c r="K462" s="3">
        <v>1357.56</v>
      </c>
      <c r="L462">
        <v>10</v>
      </c>
      <c r="M462" s="2">
        <v>2443.61</v>
      </c>
      <c r="N462" s="2">
        <v>1796.68</v>
      </c>
      <c r="O462" s="2">
        <v>646.92999999999995</v>
      </c>
      <c r="P462" s="1">
        <f>(Sales_Data[[#This Row],[Profit]]/Sales_Data[[#This Row],[Revenue]])</f>
        <v>0.26474355564103924</v>
      </c>
    </row>
    <row r="463" spans="1:16" x14ac:dyDescent="0.35">
      <c r="A463" t="s">
        <v>901</v>
      </c>
      <c r="B463" s="5" t="s">
        <v>319</v>
      </c>
      <c r="C463" s="5" t="s">
        <v>310</v>
      </c>
      <c r="D463" s="5" t="str">
        <f>"Q"&amp;ROUNDUP(MONTH(B463)/3,0)</f>
        <v>Q1</v>
      </c>
      <c r="E463" t="s">
        <v>36</v>
      </c>
      <c r="F463" t="s">
        <v>11</v>
      </c>
      <c r="G463" t="s">
        <v>104</v>
      </c>
      <c r="H463" t="s">
        <v>34</v>
      </c>
      <c r="I463" t="s">
        <v>8</v>
      </c>
      <c r="J463" s="4">
        <v>6</v>
      </c>
      <c r="K463" s="3">
        <v>25805.13</v>
      </c>
      <c r="L463">
        <v>10</v>
      </c>
      <c r="M463" s="2">
        <v>139347.70000000001</v>
      </c>
      <c r="N463" s="2">
        <v>93960.58</v>
      </c>
      <c r="O463" s="2">
        <v>45387.12</v>
      </c>
      <c r="P463" s="1">
        <f>(Sales_Data[[#This Row],[Profit]]/Sales_Data[[#This Row],[Revenue]])</f>
        <v>0.32571129627543188</v>
      </c>
    </row>
    <row r="464" spans="1:16" x14ac:dyDescent="0.35">
      <c r="A464" t="s">
        <v>900</v>
      </c>
      <c r="B464" s="5" t="s">
        <v>311</v>
      </c>
      <c r="C464" s="5" t="s">
        <v>310</v>
      </c>
      <c r="D464" s="5" t="str">
        <f>"Q"&amp;ROUNDUP(MONTH(B464)/3,0)</f>
        <v>Q1</v>
      </c>
      <c r="E464" t="s">
        <v>16</v>
      </c>
      <c r="F464" t="s">
        <v>56</v>
      </c>
      <c r="G464" t="s">
        <v>214</v>
      </c>
      <c r="H464" t="s">
        <v>1</v>
      </c>
      <c r="I464" t="s">
        <v>0</v>
      </c>
      <c r="J464" s="4">
        <v>7</v>
      </c>
      <c r="K464" s="3">
        <v>498.12</v>
      </c>
      <c r="L464">
        <v>10</v>
      </c>
      <c r="M464" s="2">
        <v>3138.16</v>
      </c>
      <c r="N464" s="2">
        <v>2412.7399999999998</v>
      </c>
      <c r="O464" s="2">
        <v>725.42</v>
      </c>
      <c r="P464" s="1">
        <f>(Sales_Data[[#This Row],[Profit]]/Sales_Data[[#This Row],[Revenue]])</f>
        <v>0.23116093507023225</v>
      </c>
    </row>
    <row r="465" spans="1:16" x14ac:dyDescent="0.35">
      <c r="A465" t="s">
        <v>899</v>
      </c>
      <c r="B465" s="5" t="s">
        <v>630</v>
      </c>
      <c r="C465" s="5" t="s">
        <v>310</v>
      </c>
      <c r="D465" s="5" t="str">
        <f>"Q"&amp;ROUNDUP(MONTH(B465)/3,0)</f>
        <v>Q1</v>
      </c>
      <c r="E465" t="s">
        <v>4</v>
      </c>
      <c r="F465" t="s">
        <v>22</v>
      </c>
      <c r="G465" t="s">
        <v>169</v>
      </c>
      <c r="H465" t="s">
        <v>111</v>
      </c>
      <c r="I465" t="s">
        <v>49</v>
      </c>
      <c r="J465" s="4">
        <v>5</v>
      </c>
      <c r="K465" s="3">
        <v>8346.19</v>
      </c>
      <c r="L465">
        <v>10</v>
      </c>
      <c r="M465" s="2">
        <v>37557.86</v>
      </c>
      <c r="N465" s="2">
        <v>23171.919999999998</v>
      </c>
      <c r="O465" s="2">
        <v>14385.94</v>
      </c>
      <c r="P465" s="1">
        <f>(Sales_Data[[#This Row],[Profit]]/Sales_Data[[#This Row],[Revenue]])</f>
        <v>0.3830340706312873</v>
      </c>
    </row>
    <row r="466" spans="1:16" x14ac:dyDescent="0.35">
      <c r="A466" t="s">
        <v>898</v>
      </c>
      <c r="B466" s="5" t="s">
        <v>897</v>
      </c>
      <c r="C466" s="5" t="s">
        <v>310</v>
      </c>
      <c r="D466" s="5" t="str">
        <f>"Q"&amp;ROUNDUP(MONTH(B466)/3,0)</f>
        <v>Q1</v>
      </c>
      <c r="E466" t="s">
        <v>23</v>
      </c>
      <c r="F466" t="s">
        <v>63</v>
      </c>
      <c r="G466" t="s">
        <v>35</v>
      </c>
      <c r="H466" t="s">
        <v>111</v>
      </c>
      <c r="I466" t="s">
        <v>49</v>
      </c>
      <c r="J466" s="4">
        <v>4</v>
      </c>
      <c r="K466" s="3">
        <v>7468.63</v>
      </c>
      <c r="L466">
        <v>10</v>
      </c>
      <c r="M466" s="2">
        <v>26887.07</v>
      </c>
      <c r="N466" s="2">
        <v>17266.66</v>
      </c>
      <c r="O466" s="2">
        <v>9620.41</v>
      </c>
      <c r="P466" s="1">
        <f>(Sales_Data[[#This Row],[Profit]]/Sales_Data[[#This Row],[Revenue]])</f>
        <v>0.35780804676746109</v>
      </c>
    </row>
    <row r="467" spans="1:16" x14ac:dyDescent="0.35">
      <c r="A467" t="s">
        <v>896</v>
      </c>
      <c r="B467" s="5" t="s">
        <v>317</v>
      </c>
      <c r="C467" s="5" t="s">
        <v>310</v>
      </c>
      <c r="D467" s="5" t="str">
        <f>"Q"&amp;ROUNDUP(MONTH(B467)/3,0)</f>
        <v>Q1</v>
      </c>
      <c r="E467" t="s">
        <v>23</v>
      </c>
      <c r="F467" t="s">
        <v>22</v>
      </c>
      <c r="G467" t="s">
        <v>231</v>
      </c>
      <c r="H467" t="s">
        <v>111</v>
      </c>
      <c r="I467" t="s">
        <v>49</v>
      </c>
      <c r="J467" s="4">
        <v>5</v>
      </c>
      <c r="K467" s="3">
        <v>7288.03</v>
      </c>
      <c r="L467">
        <v>10</v>
      </c>
      <c r="M467" s="2">
        <v>32796.14</v>
      </c>
      <c r="N467" s="2">
        <v>20602.86</v>
      </c>
      <c r="O467" s="2">
        <v>12193.28</v>
      </c>
      <c r="P467" s="1">
        <f>(Sales_Data[[#This Row],[Profit]]/Sales_Data[[#This Row],[Revenue]])</f>
        <v>0.37179009480993802</v>
      </c>
    </row>
    <row r="468" spans="1:16" x14ac:dyDescent="0.35">
      <c r="A468" t="s">
        <v>895</v>
      </c>
      <c r="B468" s="5" t="s">
        <v>348</v>
      </c>
      <c r="C468" s="5" t="s">
        <v>310</v>
      </c>
      <c r="D468" s="5" t="str">
        <f>"Q"&amp;ROUNDUP(MONTH(B468)/3,0)</f>
        <v>Q1</v>
      </c>
      <c r="E468" t="s">
        <v>16</v>
      </c>
      <c r="F468" t="s">
        <v>3</v>
      </c>
      <c r="G468" t="s">
        <v>66</v>
      </c>
      <c r="H468" t="s">
        <v>20</v>
      </c>
      <c r="I468" t="s">
        <v>19</v>
      </c>
      <c r="J468" s="4">
        <v>2</v>
      </c>
      <c r="K468" s="3">
        <v>27.11</v>
      </c>
      <c r="L468">
        <v>10</v>
      </c>
      <c r="M468" s="2">
        <v>48.8</v>
      </c>
      <c r="N468" s="2">
        <v>35.33</v>
      </c>
      <c r="O468" s="2">
        <v>13.47</v>
      </c>
      <c r="P468" s="1">
        <f>(Sales_Data[[#This Row],[Profit]]/Sales_Data[[#This Row],[Revenue]])</f>
        <v>0.27602459016393444</v>
      </c>
    </row>
    <row r="469" spans="1:16" x14ac:dyDescent="0.35">
      <c r="A469" t="s">
        <v>894</v>
      </c>
      <c r="B469" s="5" t="s">
        <v>630</v>
      </c>
      <c r="C469" s="5" t="s">
        <v>310</v>
      </c>
      <c r="D469" s="5" t="str">
        <f>"Q"&amp;ROUNDUP(MONTH(B469)/3,0)</f>
        <v>Q1</v>
      </c>
      <c r="E469" t="s">
        <v>23</v>
      </c>
      <c r="F469" t="s">
        <v>3</v>
      </c>
      <c r="G469" t="s">
        <v>214</v>
      </c>
      <c r="H469" t="s">
        <v>111</v>
      </c>
      <c r="I469" t="s">
        <v>49</v>
      </c>
      <c r="J469" s="4">
        <v>6</v>
      </c>
      <c r="K469" s="3">
        <v>7393.4</v>
      </c>
      <c r="L469">
        <v>10</v>
      </c>
      <c r="M469" s="2">
        <v>39924.36</v>
      </c>
      <c r="N469" s="2">
        <v>23407.19</v>
      </c>
      <c r="O469" s="2">
        <v>16517.169999999998</v>
      </c>
      <c r="P469" s="1">
        <f>(Sales_Data[[#This Row],[Profit]]/Sales_Data[[#This Row],[Revenue]])</f>
        <v>0.41371157859512331</v>
      </c>
    </row>
    <row r="470" spans="1:16" x14ac:dyDescent="0.35">
      <c r="A470" t="s">
        <v>893</v>
      </c>
      <c r="B470" s="5" t="s">
        <v>642</v>
      </c>
      <c r="C470" s="5" t="s">
        <v>310</v>
      </c>
      <c r="D470" s="5" t="str">
        <f>"Q"&amp;ROUNDUP(MONTH(B470)/3,0)</f>
        <v>Q1</v>
      </c>
      <c r="E470" t="s">
        <v>23</v>
      </c>
      <c r="F470" t="s">
        <v>63</v>
      </c>
      <c r="G470" t="s">
        <v>191</v>
      </c>
      <c r="H470" t="s">
        <v>45</v>
      </c>
      <c r="I470" t="s">
        <v>8</v>
      </c>
      <c r="J470" s="4">
        <v>7</v>
      </c>
      <c r="K470" s="3">
        <v>918.7</v>
      </c>
      <c r="L470">
        <v>10</v>
      </c>
      <c r="M470" s="2">
        <v>5787.81</v>
      </c>
      <c r="N470" s="2">
        <v>4270.41</v>
      </c>
      <c r="O470" s="2">
        <v>1517.4</v>
      </c>
      <c r="P470" s="1">
        <f>(Sales_Data[[#This Row],[Profit]]/Sales_Data[[#This Row],[Revenue]])</f>
        <v>0.26217170225007386</v>
      </c>
    </row>
    <row r="471" spans="1:16" x14ac:dyDescent="0.35">
      <c r="A471" t="s">
        <v>892</v>
      </c>
      <c r="B471" s="5" t="s">
        <v>313</v>
      </c>
      <c r="C471" s="5" t="s">
        <v>310</v>
      </c>
      <c r="D471" s="5" t="str">
        <f>"Q"&amp;ROUNDUP(MONTH(B471)/3,0)</f>
        <v>Q1</v>
      </c>
      <c r="E471" t="s">
        <v>16</v>
      </c>
      <c r="F471" t="s">
        <v>63</v>
      </c>
      <c r="G471" t="s">
        <v>191</v>
      </c>
      <c r="H471" t="s">
        <v>45</v>
      </c>
      <c r="I471" t="s">
        <v>8</v>
      </c>
      <c r="J471" s="4">
        <v>3</v>
      </c>
      <c r="K471" s="3">
        <v>987.47</v>
      </c>
      <c r="L471">
        <v>10</v>
      </c>
      <c r="M471" s="2">
        <v>2666.17</v>
      </c>
      <c r="N471" s="2">
        <v>2076.8200000000002</v>
      </c>
      <c r="O471" s="2">
        <v>589.35</v>
      </c>
      <c r="P471" s="1">
        <f>(Sales_Data[[#This Row],[Profit]]/Sales_Data[[#This Row],[Revenue]])</f>
        <v>0.22104742008199027</v>
      </c>
    </row>
    <row r="472" spans="1:16" x14ac:dyDescent="0.35">
      <c r="A472" t="s">
        <v>891</v>
      </c>
      <c r="B472" s="5" t="s">
        <v>311</v>
      </c>
      <c r="C472" s="5" t="s">
        <v>310</v>
      </c>
      <c r="D472" s="5" t="str">
        <f>"Q"&amp;ROUNDUP(MONTH(B472)/3,0)</f>
        <v>Q1</v>
      </c>
      <c r="E472" t="s">
        <v>4</v>
      </c>
      <c r="F472" t="s">
        <v>56</v>
      </c>
      <c r="G472" t="s">
        <v>68</v>
      </c>
      <c r="H472" t="s">
        <v>20</v>
      </c>
      <c r="I472" t="s">
        <v>19</v>
      </c>
      <c r="J472" s="4">
        <v>1</v>
      </c>
      <c r="K472" s="3">
        <v>27.54</v>
      </c>
      <c r="L472">
        <v>10</v>
      </c>
      <c r="M472" s="2">
        <v>24.79</v>
      </c>
      <c r="N472" s="2">
        <v>17.09</v>
      </c>
      <c r="O472" s="2">
        <v>7.7</v>
      </c>
      <c r="P472" s="1">
        <f>(Sales_Data[[#This Row],[Profit]]/Sales_Data[[#This Row],[Revenue]])</f>
        <v>0.31060911657926588</v>
      </c>
    </row>
    <row r="473" spans="1:16" x14ac:dyDescent="0.35">
      <c r="A473" t="s">
        <v>890</v>
      </c>
      <c r="B473" s="5" t="s">
        <v>319</v>
      </c>
      <c r="C473" s="5" t="s">
        <v>310</v>
      </c>
      <c r="D473" s="5" t="str">
        <f>"Q"&amp;ROUNDUP(MONTH(B473)/3,0)</f>
        <v>Q1</v>
      </c>
      <c r="E473" t="s">
        <v>23</v>
      </c>
      <c r="F473" t="s">
        <v>63</v>
      </c>
      <c r="G473" t="s">
        <v>68</v>
      </c>
      <c r="H473" t="s">
        <v>9</v>
      </c>
      <c r="I473" t="s">
        <v>8</v>
      </c>
      <c r="J473" s="4">
        <v>2</v>
      </c>
      <c r="K473" s="3">
        <v>54716.59</v>
      </c>
      <c r="L473">
        <v>10</v>
      </c>
      <c r="M473" s="2">
        <v>98489.86</v>
      </c>
      <c r="N473" s="2">
        <v>57884.06</v>
      </c>
      <c r="O473" s="2">
        <v>40605.800000000003</v>
      </c>
      <c r="P473" s="1">
        <f>(Sales_Data[[#This Row],[Profit]]/Sales_Data[[#This Row],[Revenue]])</f>
        <v>0.41228406660340466</v>
      </c>
    </row>
    <row r="474" spans="1:16" x14ac:dyDescent="0.35">
      <c r="A474" t="s">
        <v>889</v>
      </c>
      <c r="B474" s="5" t="s">
        <v>284</v>
      </c>
      <c r="C474" s="5" t="s">
        <v>275</v>
      </c>
      <c r="D474" s="5" t="str">
        <f>"Q"&amp;ROUNDUP(MONTH(B474)/3,0)</f>
        <v>Q1</v>
      </c>
      <c r="E474" t="s">
        <v>36</v>
      </c>
      <c r="F474" t="s">
        <v>63</v>
      </c>
      <c r="G474" t="s">
        <v>10</v>
      </c>
      <c r="H474" t="s">
        <v>59</v>
      </c>
      <c r="I474" t="s">
        <v>0</v>
      </c>
      <c r="J474" s="4">
        <v>4</v>
      </c>
      <c r="K474" s="3">
        <v>1376.65</v>
      </c>
      <c r="L474">
        <v>10</v>
      </c>
      <c r="M474" s="2">
        <v>4955.9399999999996</v>
      </c>
      <c r="N474" s="2">
        <v>3813.36</v>
      </c>
      <c r="O474" s="2">
        <v>1142.58</v>
      </c>
      <c r="P474" s="1">
        <f>(Sales_Data[[#This Row],[Profit]]/Sales_Data[[#This Row],[Revenue]])</f>
        <v>0.23054758532185621</v>
      </c>
    </row>
    <row r="475" spans="1:16" x14ac:dyDescent="0.35">
      <c r="A475" t="s">
        <v>888</v>
      </c>
      <c r="B475" s="5" t="s">
        <v>873</v>
      </c>
      <c r="C475" s="5" t="s">
        <v>275</v>
      </c>
      <c r="D475" s="5" t="str">
        <f>"Q"&amp;ROUNDUP(MONTH(B475)/3,0)</f>
        <v>Q1</v>
      </c>
      <c r="E475" t="s">
        <v>23</v>
      </c>
      <c r="F475" t="s">
        <v>11</v>
      </c>
      <c r="G475" t="s">
        <v>21</v>
      </c>
      <c r="H475" t="s">
        <v>9</v>
      </c>
      <c r="I475" t="s">
        <v>8</v>
      </c>
      <c r="J475" s="4">
        <v>1</v>
      </c>
      <c r="K475" s="3">
        <v>58022.61</v>
      </c>
      <c r="L475">
        <v>10</v>
      </c>
      <c r="M475" s="2">
        <v>52220.35</v>
      </c>
      <c r="N475" s="2">
        <v>39691.699999999997</v>
      </c>
      <c r="O475" s="2">
        <v>12528.65</v>
      </c>
      <c r="P475" s="1">
        <f>(Sales_Data[[#This Row],[Profit]]/Sales_Data[[#This Row],[Revenue]])</f>
        <v>0.23991892049746891</v>
      </c>
    </row>
    <row r="476" spans="1:16" x14ac:dyDescent="0.35">
      <c r="A476" t="s">
        <v>887</v>
      </c>
      <c r="B476" s="5" t="s">
        <v>875</v>
      </c>
      <c r="C476" s="5" t="s">
        <v>275</v>
      </c>
      <c r="D476" s="5" t="str">
        <f>"Q"&amp;ROUNDUP(MONTH(B476)/3,0)</f>
        <v>Q1</v>
      </c>
      <c r="E476" t="s">
        <v>4</v>
      </c>
      <c r="F476" t="s">
        <v>63</v>
      </c>
      <c r="G476" t="s">
        <v>238</v>
      </c>
      <c r="H476" t="s">
        <v>111</v>
      </c>
      <c r="I476" t="s">
        <v>49</v>
      </c>
      <c r="J476" s="4">
        <v>5</v>
      </c>
      <c r="K476" s="3">
        <v>7349.13</v>
      </c>
      <c r="L476">
        <v>10</v>
      </c>
      <c r="M476" s="2">
        <v>33071.08</v>
      </c>
      <c r="N476" s="2">
        <v>20996.69</v>
      </c>
      <c r="O476" s="2">
        <v>12074.39</v>
      </c>
      <c r="P476" s="1">
        <f>(Sales_Data[[#This Row],[Profit]]/Sales_Data[[#This Row],[Revenue]])</f>
        <v>0.36510419375478509</v>
      </c>
    </row>
    <row r="477" spans="1:16" x14ac:dyDescent="0.35">
      <c r="A477" t="s">
        <v>886</v>
      </c>
      <c r="B477" s="5" t="s">
        <v>885</v>
      </c>
      <c r="C477" s="5" t="s">
        <v>275</v>
      </c>
      <c r="D477" s="5" t="str">
        <f>"Q"&amp;ROUNDUP(MONTH(B477)/3,0)</f>
        <v>Q1</v>
      </c>
      <c r="E477" t="s">
        <v>36</v>
      </c>
      <c r="F477" t="s">
        <v>22</v>
      </c>
      <c r="G477" t="s">
        <v>35</v>
      </c>
      <c r="H477" t="s">
        <v>20</v>
      </c>
      <c r="I477" t="s">
        <v>19</v>
      </c>
      <c r="J477" s="4">
        <v>3</v>
      </c>
      <c r="K477" s="3">
        <v>28.96</v>
      </c>
      <c r="L477">
        <v>10</v>
      </c>
      <c r="M477" s="2">
        <v>78.19</v>
      </c>
      <c r="N477" s="2">
        <v>64.87</v>
      </c>
      <c r="O477" s="2">
        <v>13.32</v>
      </c>
      <c r="P477" s="1">
        <f>(Sales_Data[[#This Row],[Profit]]/Sales_Data[[#This Row],[Revenue]])</f>
        <v>0.17035426525131092</v>
      </c>
    </row>
    <row r="478" spans="1:16" x14ac:dyDescent="0.35">
      <c r="A478" t="s">
        <v>884</v>
      </c>
      <c r="B478" s="5" t="s">
        <v>619</v>
      </c>
      <c r="C478" s="5" t="s">
        <v>275</v>
      </c>
      <c r="D478" s="5" t="str">
        <f>"Q"&amp;ROUNDUP(MONTH(B478)/3,0)</f>
        <v>Q1</v>
      </c>
      <c r="E478" t="s">
        <v>23</v>
      </c>
      <c r="F478" t="s">
        <v>3</v>
      </c>
      <c r="G478" t="s">
        <v>2</v>
      </c>
      <c r="H478" t="s">
        <v>50</v>
      </c>
      <c r="I478" t="s">
        <v>49</v>
      </c>
      <c r="J478" s="4">
        <v>3</v>
      </c>
      <c r="K478" s="3">
        <v>4507.9399999999996</v>
      </c>
      <c r="L478">
        <v>10</v>
      </c>
      <c r="M478" s="2">
        <v>12171.44</v>
      </c>
      <c r="N478" s="2">
        <v>8427.91</v>
      </c>
      <c r="O478" s="2">
        <v>3743.53</v>
      </c>
      <c r="P478" s="1">
        <f>(Sales_Data[[#This Row],[Profit]]/Sales_Data[[#This Row],[Revenue]])</f>
        <v>0.30756672998429108</v>
      </c>
    </row>
    <row r="479" spans="1:16" x14ac:dyDescent="0.35">
      <c r="A479" t="s">
        <v>883</v>
      </c>
      <c r="B479" s="5" t="s">
        <v>615</v>
      </c>
      <c r="C479" s="5" t="s">
        <v>275</v>
      </c>
      <c r="D479" s="5" t="str">
        <f>"Q"&amp;ROUNDUP(MONTH(B479)/3,0)</f>
        <v>Q1</v>
      </c>
      <c r="E479" t="s">
        <v>16</v>
      </c>
      <c r="F479" t="s">
        <v>52</v>
      </c>
      <c r="G479" t="s">
        <v>39</v>
      </c>
      <c r="H479" t="s">
        <v>14</v>
      </c>
      <c r="I479" t="s">
        <v>8</v>
      </c>
      <c r="J479" s="4">
        <v>6</v>
      </c>
      <c r="K479" s="3">
        <v>2340.2600000000002</v>
      </c>
      <c r="L479">
        <v>10</v>
      </c>
      <c r="M479" s="2">
        <v>12637.4</v>
      </c>
      <c r="N479" s="2">
        <v>7042.83</v>
      </c>
      <c r="O479" s="2">
        <v>5594.57</v>
      </c>
      <c r="P479" s="1">
        <f>(Sales_Data[[#This Row],[Profit]]/Sales_Data[[#This Row],[Revenue]])</f>
        <v>0.44269944767119818</v>
      </c>
    </row>
    <row r="480" spans="1:16" x14ac:dyDescent="0.35">
      <c r="A480" t="s">
        <v>882</v>
      </c>
      <c r="B480" s="5" t="s">
        <v>278</v>
      </c>
      <c r="C480" s="5" t="s">
        <v>275</v>
      </c>
      <c r="D480" s="5" t="str">
        <f>"Q"&amp;ROUNDUP(MONTH(B480)/3,0)</f>
        <v>Q1</v>
      </c>
      <c r="E480" t="s">
        <v>16</v>
      </c>
      <c r="F480" t="s">
        <v>63</v>
      </c>
      <c r="G480" t="s">
        <v>137</v>
      </c>
      <c r="H480" t="s">
        <v>59</v>
      </c>
      <c r="I480" t="s">
        <v>0</v>
      </c>
      <c r="J480" s="4">
        <v>8</v>
      </c>
      <c r="K480" s="3">
        <v>1527.36</v>
      </c>
      <c r="L480">
        <v>10</v>
      </c>
      <c r="M480" s="2">
        <v>10996.99</v>
      </c>
      <c r="N480" s="2">
        <v>7702.13</v>
      </c>
      <c r="O480" s="2">
        <v>3294.86</v>
      </c>
      <c r="P480" s="1">
        <f>(Sales_Data[[#This Row],[Profit]]/Sales_Data[[#This Row],[Revenue]])</f>
        <v>0.29961471275321705</v>
      </c>
    </row>
    <row r="481" spans="1:16" x14ac:dyDescent="0.35">
      <c r="A481" t="s">
        <v>881</v>
      </c>
      <c r="B481" s="5" t="s">
        <v>284</v>
      </c>
      <c r="C481" s="5" t="s">
        <v>275</v>
      </c>
      <c r="D481" s="5" t="str">
        <f>"Q"&amp;ROUNDUP(MONTH(B481)/3,0)</f>
        <v>Q1</v>
      </c>
      <c r="E481" t="s">
        <v>16</v>
      </c>
      <c r="F481" t="s">
        <v>11</v>
      </c>
      <c r="G481" t="s">
        <v>142</v>
      </c>
      <c r="H481" t="s">
        <v>59</v>
      </c>
      <c r="I481" t="s">
        <v>0</v>
      </c>
      <c r="J481" s="4">
        <v>7</v>
      </c>
      <c r="K481" s="3">
        <v>1438.14</v>
      </c>
      <c r="L481">
        <v>10</v>
      </c>
      <c r="M481" s="2">
        <v>9060.2800000000007</v>
      </c>
      <c r="N481" s="2">
        <v>6926.63</v>
      </c>
      <c r="O481" s="2">
        <v>2133.65</v>
      </c>
      <c r="P481" s="1">
        <f>(Sales_Data[[#This Row],[Profit]]/Sales_Data[[#This Row],[Revenue]])</f>
        <v>0.23549492951652706</v>
      </c>
    </row>
    <row r="482" spans="1:16" x14ac:dyDescent="0.35">
      <c r="A482" t="s">
        <v>880</v>
      </c>
      <c r="B482" s="5" t="s">
        <v>603</v>
      </c>
      <c r="C482" s="5" t="s">
        <v>275</v>
      </c>
      <c r="D482" s="5" t="str">
        <f>"Q"&amp;ROUNDUP(MONTH(B482)/3,0)</f>
        <v>Q1</v>
      </c>
      <c r="E482" t="s">
        <v>16</v>
      </c>
      <c r="F482" t="s">
        <v>22</v>
      </c>
      <c r="G482" t="s">
        <v>101</v>
      </c>
      <c r="H482" t="s">
        <v>45</v>
      </c>
      <c r="I482" t="s">
        <v>8</v>
      </c>
      <c r="J482" s="4">
        <v>7</v>
      </c>
      <c r="K482" s="3">
        <v>870.76</v>
      </c>
      <c r="L482">
        <v>10</v>
      </c>
      <c r="M482" s="2">
        <v>5485.79</v>
      </c>
      <c r="N482" s="2">
        <v>3365.98</v>
      </c>
      <c r="O482" s="2">
        <v>2119.81</v>
      </c>
      <c r="P482" s="1">
        <f>(Sales_Data[[#This Row],[Profit]]/Sales_Data[[#This Row],[Revenue]])</f>
        <v>0.38641836453819778</v>
      </c>
    </row>
    <row r="483" spans="1:16" x14ac:dyDescent="0.35">
      <c r="A483" t="s">
        <v>879</v>
      </c>
      <c r="B483" s="5" t="s">
        <v>603</v>
      </c>
      <c r="C483" s="5" t="s">
        <v>275</v>
      </c>
      <c r="D483" s="5" t="str">
        <f>"Q"&amp;ROUNDUP(MONTH(B483)/3,0)</f>
        <v>Q1</v>
      </c>
      <c r="E483" t="s">
        <v>23</v>
      </c>
      <c r="F483" t="s">
        <v>52</v>
      </c>
      <c r="G483" t="s">
        <v>142</v>
      </c>
      <c r="H483" t="s">
        <v>14</v>
      </c>
      <c r="I483" t="s">
        <v>8</v>
      </c>
      <c r="J483" s="4">
        <v>4</v>
      </c>
      <c r="K483" s="3">
        <v>2665.52</v>
      </c>
      <c r="L483">
        <v>10</v>
      </c>
      <c r="M483" s="2">
        <v>9595.8700000000008</v>
      </c>
      <c r="N483" s="2">
        <v>6621.5</v>
      </c>
      <c r="O483" s="2">
        <v>2974.37</v>
      </c>
      <c r="P483" s="1">
        <f>(Sales_Data[[#This Row],[Profit]]/Sales_Data[[#This Row],[Revenue]])</f>
        <v>0.30996355723868702</v>
      </c>
    </row>
    <row r="484" spans="1:16" x14ac:dyDescent="0.35">
      <c r="A484" t="s">
        <v>878</v>
      </c>
      <c r="B484" s="5" t="s">
        <v>877</v>
      </c>
      <c r="C484" s="5" t="s">
        <v>275</v>
      </c>
      <c r="D484" s="5" t="str">
        <f>"Q"&amp;ROUNDUP(MONTH(B484)/3,0)</f>
        <v>Q1</v>
      </c>
      <c r="E484" t="s">
        <v>23</v>
      </c>
      <c r="F484" t="s">
        <v>63</v>
      </c>
      <c r="G484" t="s">
        <v>15</v>
      </c>
      <c r="H484" t="s">
        <v>14</v>
      </c>
      <c r="I484" t="s">
        <v>8</v>
      </c>
      <c r="J484" s="4">
        <v>8</v>
      </c>
      <c r="K484" s="3">
        <v>2504.2399999999998</v>
      </c>
      <c r="L484">
        <v>10</v>
      </c>
      <c r="M484" s="2">
        <v>18030.53</v>
      </c>
      <c r="N484" s="2">
        <v>15183.74</v>
      </c>
      <c r="O484" s="2">
        <v>2846.79</v>
      </c>
      <c r="P484" s="1">
        <f>(Sales_Data[[#This Row],[Profit]]/Sales_Data[[#This Row],[Revenue]])</f>
        <v>0.15788720575601495</v>
      </c>
    </row>
    <row r="485" spans="1:16" x14ac:dyDescent="0.35">
      <c r="A485" t="s">
        <v>876</v>
      </c>
      <c r="B485" s="5" t="s">
        <v>875</v>
      </c>
      <c r="C485" s="5" t="s">
        <v>275</v>
      </c>
      <c r="D485" s="5" t="str">
        <f>"Q"&amp;ROUNDUP(MONTH(B485)/3,0)</f>
        <v>Q1</v>
      </c>
      <c r="E485" t="s">
        <v>16</v>
      </c>
      <c r="F485" t="s">
        <v>52</v>
      </c>
      <c r="G485" t="s">
        <v>29</v>
      </c>
      <c r="H485" t="s">
        <v>9</v>
      </c>
      <c r="I485" t="s">
        <v>8</v>
      </c>
      <c r="J485" s="4">
        <v>7</v>
      </c>
      <c r="K485" s="3">
        <v>58419.65</v>
      </c>
      <c r="L485">
        <v>10</v>
      </c>
      <c r="M485" s="2">
        <v>368043.79</v>
      </c>
      <c r="N485" s="2">
        <v>266591.76</v>
      </c>
      <c r="O485" s="2">
        <v>101452.03</v>
      </c>
      <c r="P485" s="1">
        <f>(Sales_Data[[#This Row],[Profit]]/Sales_Data[[#This Row],[Revenue]])</f>
        <v>0.2756520630330429</v>
      </c>
    </row>
    <row r="486" spans="1:16" x14ac:dyDescent="0.35">
      <c r="A486" t="s">
        <v>874</v>
      </c>
      <c r="B486" s="5" t="s">
        <v>873</v>
      </c>
      <c r="C486" s="5" t="s">
        <v>275</v>
      </c>
      <c r="D486" s="5" t="str">
        <f>"Q"&amp;ROUNDUP(MONTH(B486)/3,0)</f>
        <v>Q1</v>
      </c>
      <c r="E486" t="s">
        <v>36</v>
      </c>
      <c r="F486" t="s">
        <v>56</v>
      </c>
      <c r="G486" t="s">
        <v>95</v>
      </c>
      <c r="H486" t="s">
        <v>1</v>
      </c>
      <c r="I486" t="s">
        <v>0</v>
      </c>
      <c r="J486" s="4">
        <v>1</v>
      </c>
      <c r="K486" s="3">
        <v>546.69000000000005</v>
      </c>
      <c r="L486">
        <v>10</v>
      </c>
      <c r="M486" s="2">
        <v>492.02</v>
      </c>
      <c r="N486" s="2">
        <v>349.95</v>
      </c>
      <c r="O486" s="2">
        <v>142.07</v>
      </c>
      <c r="P486" s="1">
        <f>(Sales_Data[[#This Row],[Profit]]/Sales_Data[[#This Row],[Revenue]])</f>
        <v>0.28874842486077801</v>
      </c>
    </row>
    <row r="487" spans="1:16" x14ac:dyDescent="0.35">
      <c r="A487" t="s">
        <v>872</v>
      </c>
      <c r="B487" s="5" t="s">
        <v>282</v>
      </c>
      <c r="C487" s="5" t="s">
        <v>275</v>
      </c>
      <c r="D487" s="5" t="str">
        <f>"Q"&amp;ROUNDUP(MONTH(B487)/3,0)</f>
        <v>Q1</v>
      </c>
      <c r="E487" t="s">
        <v>4</v>
      </c>
      <c r="F487" t="s">
        <v>11</v>
      </c>
      <c r="G487" t="s">
        <v>31</v>
      </c>
      <c r="H487" t="s">
        <v>111</v>
      </c>
      <c r="I487" t="s">
        <v>49</v>
      </c>
      <c r="J487" s="4">
        <v>4</v>
      </c>
      <c r="K487" s="3">
        <v>8630.81</v>
      </c>
      <c r="L487">
        <v>10</v>
      </c>
      <c r="M487" s="2">
        <v>31070.92</v>
      </c>
      <c r="N487" s="2">
        <v>20845.43</v>
      </c>
      <c r="O487" s="2">
        <v>10225.49</v>
      </c>
      <c r="P487" s="1">
        <f>(Sales_Data[[#This Row],[Profit]]/Sales_Data[[#This Row],[Revenue]])</f>
        <v>0.32910161655979292</v>
      </c>
    </row>
    <row r="488" spans="1:16" x14ac:dyDescent="0.35">
      <c r="A488" t="s">
        <v>871</v>
      </c>
      <c r="B488" s="5" t="s">
        <v>292</v>
      </c>
      <c r="C488" s="5" t="s">
        <v>275</v>
      </c>
      <c r="D488" s="5" t="str">
        <f>"Q"&amp;ROUNDUP(MONTH(B488)/3,0)</f>
        <v>Q1</v>
      </c>
      <c r="E488" t="s">
        <v>16</v>
      </c>
      <c r="F488" t="s">
        <v>22</v>
      </c>
      <c r="G488" t="s">
        <v>98</v>
      </c>
      <c r="H488" t="s">
        <v>111</v>
      </c>
      <c r="I488" t="s">
        <v>49</v>
      </c>
      <c r="J488" s="4">
        <v>2</v>
      </c>
      <c r="K488" s="3">
        <v>8147.39</v>
      </c>
      <c r="L488">
        <v>10</v>
      </c>
      <c r="M488" s="2">
        <v>14665.3</v>
      </c>
      <c r="N488" s="2">
        <v>8999.9599999999991</v>
      </c>
      <c r="O488" s="2">
        <v>5665.34</v>
      </c>
      <c r="P488" s="1">
        <f>(Sales_Data[[#This Row],[Profit]]/Sales_Data[[#This Row],[Revenue]])</f>
        <v>0.38630917880984367</v>
      </c>
    </row>
    <row r="489" spans="1:16" x14ac:dyDescent="0.35">
      <c r="A489" t="s">
        <v>870</v>
      </c>
      <c r="B489" s="5" t="s">
        <v>290</v>
      </c>
      <c r="C489" s="5" t="s">
        <v>275</v>
      </c>
      <c r="D489" s="5" t="str">
        <f>"Q"&amp;ROUNDUP(MONTH(B489)/3,0)</f>
        <v>Q1</v>
      </c>
      <c r="E489" t="s">
        <v>23</v>
      </c>
      <c r="F489" t="s">
        <v>63</v>
      </c>
      <c r="G489" t="s">
        <v>10</v>
      </c>
      <c r="H489" t="s">
        <v>20</v>
      </c>
      <c r="I489" t="s">
        <v>19</v>
      </c>
      <c r="J489" s="4">
        <v>2</v>
      </c>
      <c r="K489" s="3">
        <v>29.51</v>
      </c>
      <c r="L489">
        <v>10</v>
      </c>
      <c r="M489" s="2">
        <v>53.12</v>
      </c>
      <c r="N489" s="2">
        <v>43.71</v>
      </c>
      <c r="O489" s="2">
        <v>9.41</v>
      </c>
      <c r="P489" s="1">
        <f>(Sales_Data[[#This Row],[Profit]]/Sales_Data[[#This Row],[Revenue]])</f>
        <v>0.17714608433734941</v>
      </c>
    </row>
    <row r="490" spans="1:16" x14ac:dyDescent="0.35">
      <c r="A490" t="s">
        <v>869</v>
      </c>
      <c r="B490" s="5" t="s">
        <v>615</v>
      </c>
      <c r="C490" s="5" t="s">
        <v>275</v>
      </c>
      <c r="D490" s="5" t="str">
        <f>"Q"&amp;ROUNDUP(MONTH(B490)/3,0)</f>
        <v>Q1</v>
      </c>
      <c r="E490" t="s">
        <v>16</v>
      </c>
      <c r="F490" t="s">
        <v>52</v>
      </c>
      <c r="G490" t="s">
        <v>10</v>
      </c>
      <c r="H490" t="s">
        <v>59</v>
      </c>
      <c r="I490" t="s">
        <v>0</v>
      </c>
      <c r="J490" s="4">
        <v>8</v>
      </c>
      <c r="K490" s="3">
        <v>1358.28</v>
      </c>
      <c r="L490">
        <v>10</v>
      </c>
      <c r="M490" s="2">
        <v>9779.6200000000008</v>
      </c>
      <c r="N490" s="2">
        <v>7245.09</v>
      </c>
      <c r="O490" s="2">
        <v>2534.5300000000002</v>
      </c>
      <c r="P490" s="1">
        <f>(Sales_Data[[#This Row],[Profit]]/Sales_Data[[#This Row],[Revenue]])</f>
        <v>0.25916446651301378</v>
      </c>
    </row>
    <row r="491" spans="1:16" x14ac:dyDescent="0.35">
      <c r="A491" t="s">
        <v>868</v>
      </c>
      <c r="B491" s="5" t="s">
        <v>265</v>
      </c>
      <c r="C491" s="5" t="s">
        <v>235</v>
      </c>
      <c r="D491" s="5" t="str">
        <f>"Q"&amp;ROUNDUP(MONTH(B491)/3,0)</f>
        <v>Q3</v>
      </c>
      <c r="E491" t="s">
        <v>16</v>
      </c>
      <c r="F491" t="s">
        <v>52</v>
      </c>
      <c r="G491" t="s">
        <v>150</v>
      </c>
      <c r="H491" t="s">
        <v>20</v>
      </c>
      <c r="I491" t="s">
        <v>19</v>
      </c>
      <c r="J491" s="4">
        <v>2</v>
      </c>
      <c r="K491" s="3">
        <v>29.77</v>
      </c>
      <c r="L491">
        <v>10</v>
      </c>
      <c r="M491" s="2">
        <v>53.59</v>
      </c>
      <c r="N491" s="2">
        <v>40.65</v>
      </c>
      <c r="O491" s="2">
        <v>12.94</v>
      </c>
      <c r="P491" s="1">
        <f>(Sales_Data[[#This Row],[Profit]]/Sales_Data[[#This Row],[Revenue]])</f>
        <v>0.24146295950737076</v>
      </c>
    </row>
    <row r="492" spans="1:16" x14ac:dyDescent="0.35">
      <c r="A492" t="s">
        <v>867</v>
      </c>
      <c r="B492" s="5" t="s">
        <v>243</v>
      </c>
      <c r="C492" s="5" t="s">
        <v>235</v>
      </c>
      <c r="D492" s="5" t="str">
        <f>"Q"&amp;ROUNDUP(MONTH(B492)/3,0)</f>
        <v>Q3</v>
      </c>
      <c r="E492" t="s">
        <v>23</v>
      </c>
      <c r="F492" t="s">
        <v>56</v>
      </c>
      <c r="G492" t="s">
        <v>309</v>
      </c>
      <c r="H492" t="s">
        <v>20</v>
      </c>
      <c r="I492" t="s">
        <v>19</v>
      </c>
      <c r="J492" s="4">
        <v>7</v>
      </c>
      <c r="K492" s="3">
        <v>32.89</v>
      </c>
      <c r="L492">
        <v>10</v>
      </c>
      <c r="M492" s="2">
        <v>207.21</v>
      </c>
      <c r="N492" s="2">
        <v>150.61000000000001</v>
      </c>
      <c r="O492" s="2">
        <v>56.6</v>
      </c>
      <c r="P492" s="1">
        <f>(Sales_Data[[#This Row],[Profit]]/Sales_Data[[#This Row],[Revenue]])</f>
        <v>0.27315284011389412</v>
      </c>
    </row>
    <row r="493" spans="1:16" x14ac:dyDescent="0.35">
      <c r="A493" t="s">
        <v>866</v>
      </c>
      <c r="B493" s="5" t="s">
        <v>591</v>
      </c>
      <c r="C493" s="5" t="s">
        <v>235</v>
      </c>
      <c r="D493" s="5" t="str">
        <f>"Q"&amp;ROUNDUP(MONTH(B493)/3,0)</f>
        <v>Q3</v>
      </c>
      <c r="E493" t="s">
        <v>16</v>
      </c>
      <c r="F493" t="s">
        <v>11</v>
      </c>
      <c r="G493" t="s">
        <v>42</v>
      </c>
      <c r="H493" t="s">
        <v>34</v>
      </c>
      <c r="I493" t="s">
        <v>8</v>
      </c>
      <c r="J493" s="4">
        <v>4</v>
      </c>
      <c r="K493" s="3">
        <v>24875.56</v>
      </c>
      <c r="L493">
        <v>10</v>
      </c>
      <c r="M493" s="2">
        <v>89552.02</v>
      </c>
      <c r="N493" s="2">
        <v>50450.49</v>
      </c>
      <c r="O493" s="2">
        <v>39101.53</v>
      </c>
      <c r="P493" s="1">
        <f>(Sales_Data[[#This Row],[Profit]]/Sales_Data[[#This Row],[Revenue]])</f>
        <v>0.43663481851107322</v>
      </c>
    </row>
    <row r="494" spans="1:16" x14ac:dyDescent="0.35">
      <c r="A494" t="s">
        <v>865</v>
      </c>
      <c r="B494" s="5" t="s">
        <v>864</v>
      </c>
      <c r="C494" s="5" t="s">
        <v>235</v>
      </c>
      <c r="D494" s="5" t="str">
        <f>"Q"&amp;ROUNDUP(MONTH(B494)/3,0)</f>
        <v>Q3</v>
      </c>
      <c r="E494" t="s">
        <v>23</v>
      </c>
      <c r="F494" t="s">
        <v>56</v>
      </c>
      <c r="G494" t="s">
        <v>128</v>
      </c>
      <c r="H494" t="s">
        <v>20</v>
      </c>
      <c r="I494" t="s">
        <v>19</v>
      </c>
      <c r="J494" s="4">
        <v>8</v>
      </c>
      <c r="K494" s="3">
        <v>29.58</v>
      </c>
      <c r="L494">
        <v>10</v>
      </c>
      <c r="M494" s="2">
        <v>212.98</v>
      </c>
      <c r="N494" s="2">
        <v>143.88999999999999</v>
      </c>
      <c r="O494" s="2">
        <v>69.09</v>
      </c>
      <c r="P494" s="1">
        <f>(Sales_Data[[#This Row],[Profit]]/Sales_Data[[#This Row],[Revenue]])</f>
        <v>0.32439665696309516</v>
      </c>
    </row>
    <row r="495" spans="1:16" x14ac:dyDescent="0.35">
      <c r="A495" t="s">
        <v>863</v>
      </c>
      <c r="B495" s="5" t="s">
        <v>600</v>
      </c>
      <c r="C495" s="5" t="s">
        <v>235</v>
      </c>
      <c r="D495" s="5" t="str">
        <f>"Q"&amp;ROUNDUP(MONTH(B495)/3,0)</f>
        <v>Q3</v>
      </c>
      <c r="E495" t="s">
        <v>16</v>
      </c>
      <c r="F495" t="s">
        <v>22</v>
      </c>
      <c r="G495" t="s">
        <v>26</v>
      </c>
      <c r="H495" t="s">
        <v>78</v>
      </c>
      <c r="I495" t="s">
        <v>19</v>
      </c>
      <c r="J495" s="4">
        <v>8</v>
      </c>
      <c r="K495" s="3">
        <v>131.44</v>
      </c>
      <c r="L495">
        <v>10</v>
      </c>
      <c r="M495" s="2">
        <v>946.37</v>
      </c>
      <c r="N495" s="2">
        <v>543.54</v>
      </c>
      <c r="O495" s="2">
        <v>402.83</v>
      </c>
      <c r="P495" s="1">
        <f>(Sales_Data[[#This Row],[Profit]]/Sales_Data[[#This Row],[Revenue]])</f>
        <v>0.42565804072402968</v>
      </c>
    </row>
    <row r="496" spans="1:16" x14ac:dyDescent="0.35">
      <c r="A496" t="s">
        <v>862</v>
      </c>
      <c r="B496" s="5" t="s">
        <v>861</v>
      </c>
      <c r="C496" s="5" t="s">
        <v>235</v>
      </c>
      <c r="D496" s="5" t="str">
        <f>"Q"&amp;ROUNDUP(MONTH(B496)/3,0)</f>
        <v>Q3</v>
      </c>
      <c r="E496" t="s">
        <v>4</v>
      </c>
      <c r="F496" t="s">
        <v>52</v>
      </c>
      <c r="G496" t="s">
        <v>35</v>
      </c>
      <c r="H496" t="s">
        <v>14</v>
      </c>
      <c r="I496" t="s">
        <v>8</v>
      </c>
      <c r="J496" s="4">
        <v>5</v>
      </c>
      <c r="K496" s="3">
        <v>2508.1799999999998</v>
      </c>
      <c r="L496">
        <v>10</v>
      </c>
      <c r="M496" s="2">
        <v>11286.81</v>
      </c>
      <c r="N496" s="2">
        <v>7302.52</v>
      </c>
      <c r="O496" s="2">
        <v>3984.29</v>
      </c>
      <c r="P496" s="1">
        <f>(Sales_Data[[#This Row],[Profit]]/Sales_Data[[#This Row],[Revenue]])</f>
        <v>0.35300408175560677</v>
      </c>
    </row>
    <row r="497" spans="1:16" x14ac:dyDescent="0.35">
      <c r="A497" t="s">
        <v>860</v>
      </c>
      <c r="B497" s="5" t="s">
        <v>268</v>
      </c>
      <c r="C497" s="5" t="s">
        <v>235</v>
      </c>
      <c r="D497" s="5" t="str">
        <f>"Q"&amp;ROUNDUP(MONTH(B497)/3,0)</f>
        <v>Q3</v>
      </c>
      <c r="E497" t="s">
        <v>23</v>
      </c>
      <c r="F497" t="s">
        <v>11</v>
      </c>
      <c r="G497" t="s">
        <v>108</v>
      </c>
      <c r="H497" t="s">
        <v>45</v>
      </c>
      <c r="I497" t="s">
        <v>8</v>
      </c>
      <c r="J497" s="4">
        <v>2</v>
      </c>
      <c r="K497" s="3">
        <v>827.14</v>
      </c>
      <c r="L497">
        <v>10</v>
      </c>
      <c r="M497" s="2">
        <v>1488.85</v>
      </c>
      <c r="N497" s="2">
        <v>945.89</v>
      </c>
      <c r="O497" s="2">
        <v>542.96</v>
      </c>
      <c r="P497" s="1">
        <f>(Sales_Data[[#This Row],[Profit]]/Sales_Data[[#This Row],[Revenue]])</f>
        <v>0.36468415219800521</v>
      </c>
    </row>
    <row r="498" spans="1:16" x14ac:dyDescent="0.35">
      <c r="A498" t="s">
        <v>859</v>
      </c>
      <c r="B498" s="5" t="s">
        <v>597</v>
      </c>
      <c r="C498" s="5" t="s">
        <v>235</v>
      </c>
      <c r="D498" s="5" t="str">
        <f>"Q"&amp;ROUNDUP(MONTH(B498)/3,0)</f>
        <v>Q3</v>
      </c>
      <c r="E498" t="s">
        <v>36</v>
      </c>
      <c r="F498" t="s">
        <v>11</v>
      </c>
      <c r="G498" t="s">
        <v>174</v>
      </c>
      <c r="H498" t="s">
        <v>111</v>
      </c>
      <c r="I498" t="s">
        <v>49</v>
      </c>
      <c r="J498" s="4">
        <v>6</v>
      </c>
      <c r="K498" s="3">
        <v>7736.27</v>
      </c>
      <c r="L498">
        <v>10</v>
      </c>
      <c r="M498" s="2">
        <v>41775.86</v>
      </c>
      <c r="N498" s="2">
        <v>24152.65</v>
      </c>
      <c r="O498" s="2">
        <v>17623.21</v>
      </c>
      <c r="P498" s="1">
        <f>(Sales_Data[[#This Row],[Profit]]/Sales_Data[[#This Row],[Revenue]])</f>
        <v>0.42185151903515566</v>
      </c>
    </row>
    <row r="499" spans="1:16" x14ac:dyDescent="0.35">
      <c r="A499" t="s">
        <v>858</v>
      </c>
      <c r="B499" s="5" t="s">
        <v>857</v>
      </c>
      <c r="C499" s="5" t="s">
        <v>235</v>
      </c>
      <c r="D499" s="5" t="str">
        <f>"Q"&amp;ROUNDUP(MONTH(B499)/3,0)</f>
        <v>Q3</v>
      </c>
      <c r="E499" t="s">
        <v>36</v>
      </c>
      <c r="F499" t="s">
        <v>52</v>
      </c>
      <c r="G499" t="s">
        <v>42</v>
      </c>
      <c r="H499" t="s">
        <v>20</v>
      </c>
      <c r="I499" t="s">
        <v>19</v>
      </c>
      <c r="J499" s="4">
        <v>1</v>
      </c>
      <c r="K499" s="3">
        <v>32.380000000000003</v>
      </c>
      <c r="L499">
        <v>10</v>
      </c>
      <c r="M499" s="2">
        <v>29.14</v>
      </c>
      <c r="N499" s="2">
        <v>22.59</v>
      </c>
      <c r="O499" s="2">
        <v>6.55</v>
      </c>
      <c r="P499" s="1">
        <f>(Sales_Data[[#This Row],[Profit]]/Sales_Data[[#This Row],[Revenue]])</f>
        <v>0.22477693891557995</v>
      </c>
    </row>
    <row r="500" spans="1:16" x14ac:dyDescent="0.35">
      <c r="A500" t="s">
        <v>856</v>
      </c>
      <c r="B500" s="5" t="s">
        <v>855</v>
      </c>
      <c r="C500" s="5" t="s">
        <v>235</v>
      </c>
      <c r="D500" s="5" t="str">
        <f>"Q"&amp;ROUNDUP(MONTH(B500)/3,0)</f>
        <v>Q3</v>
      </c>
      <c r="E500" t="s">
        <v>36</v>
      </c>
      <c r="F500" t="s">
        <v>52</v>
      </c>
      <c r="G500" t="s">
        <v>169</v>
      </c>
      <c r="H500" t="s">
        <v>59</v>
      </c>
      <c r="I500" t="s">
        <v>0</v>
      </c>
      <c r="J500" s="4">
        <v>6</v>
      </c>
      <c r="K500" s="3">
        <v>1380.03</v>
      </c>
      <c r="L500">
        <v>10</v>
      </c>
      <c r="M500" s="2">
        <v>7452.16</v>
      </c>
      <c r="N500" s="2">
        <v>5992.61</v>
      </c>
      <c r="O500" s="2">
        <v>1459.55</v>
      </c>
      <c r="P500" s="1">
        <f>(Sales_Data[[#This Row],[Profit]]/Sales_Data[[#This Row],[Revenue]])</f>
        <v>0.19585596659223634</v>
      </c>
    </row>
    <row r="501" spans="1:16" x14ac:dyDescent="0.35">
      <c r="A501" t="s">
        <v>854</v>
      </c>
      <c r="B501" s="5" t="s">
        <v>236</v>
      </c>
      <c r="C501" s="5" t="s">
        <v>235</v>
      </c>
      <c r="D501" s="5" t="str">
        <f>"Q"&amp;ROUNDUP(MONTH(B501)/3,0)</f>
        <v>Q3</v>
      </c>
      <c r="E501" t="s">
        <v>23</v>
      </c>
      <c r="F501" t="s">
        <v>63</v>
      </c>
      <c r="G501" t="s">
        <v>92</v>
      </c>
      <c r="H501" t="s">
        <v>78</v>
      </c>
      <c r="I501" t="s">
        <v>19</v>
      </c>
      <c r="J501" s="4">
        <v>4</v>
      </c>
      <c r="K501" s="3">
        <v>109.99</v>
      </c>
      <c r="L501">
        <v>10</v>
      </c>
      <c r="M501" s="2">
        <v>395.96</v>
      </c>
      <c r="N501" s="2">
        <v>299.57</v>
      </c>
      <c r="O501" s="2">
        <v>96.39</v>
      </c>
      <c r="P501" s="1">
        <f>(Sales_Data[[#This Row],[Profit]]/Sales_Data[[#This Row],[Revenue]])</f>
        <v>0.24343368016971412</v>
      </c>
    </row>
    <row r="502" spans="1:16" x14ac:dyDescent="0.35">
      <c r="A502" t="s">
        <v>853</v>
      </c>
      <c r="B502" s="5" t="s">
        <v>241</v>
      </c>
      <c r="C502" s="5" t="s">
        <v>235</v>
      </c>
      <c r="D502" s="5" t="str">
        <f>"Q"&amp;ROUNDUP(MONTH(B502)/3,0)</f>
        <v>Q3</v>
      </c>
      <c r="E502" t="s">
        <v>16</v>
      </c>
      <c r="F502" t="s">
        <v>22</v>
      </c>
      <c r="G502" t="s">
        <v>174</v>
      </c>
      <c r="H502" t="s">
        <v>50</v>
      </c>
      <c r="I502" t="s">
        <v>49</v>
      </c>
      <c r="J502" s="4">
        <v>7</v>
      </c>
      <c r="K502" s="3">
        <v>4885.82</v>
      </c>
      <c r="L502">
        <v>10</v>
      </c>
      <c r="M502" s="2">
        <v>30780.67</v>
      </c>
      <c r="N502" s="2">
        <v>21957.01</v>
      </c>
      <c r="O502" s="2">
        <v>8823.66</v>
      </c>
      <c r="P502" s="1">
        <f>(Sales_Data[[#This Row],[Profit]]/Sales_Data[[#This Row],[Revenue]])</f>
        <v>0.28666237609512724</v>
      </c>
    </row>
    <row r="503" spans="1:16" x14ac:dyDescent="0.35">
      <c r="A503" t="s">
        <v>852</v>
      </c>
      <c r="B503" s="5" t="s">
        <v>247</v>
      </c>
      <c r="C503" s="5" t="s">
        <v>235</v>
      </c>
      <c r="D503" s="5" t="str">
        <f>"Q"&amp;ROUNDUP(MONTH(B503)/3,0)</f>
        <v>Q3</v>
      </c>
      <c r="E503" t="s">
        <v>36</v>
      </c>
      <c r="F503" t="s">
        <v>63</v>
      </c>
      <c r="G503" t="s">
        <v>166</v>
      </c>
      <c r="H503" t="s">
        <v>78</v>
      </c>
      <c r="I503" t="s">
        <v>19</v>
      </c>
      <c r="J503" s="4">
        <v>7</v>
      </c>
      <c r="K503" s="3">
        <v>117.11</v>
      </c>
      <c r="L503">
        <v>10</v>
      </c>
      <c r="M503" s="2">
        <v>737.79</v>
      </c>
      <c r="N503" s="2">
        <v>607.27</v>
      </c>
      <c r="O503" s="2">
        <v>130.52000000000001</v>
      </c>
      <c r="P503" s="1">
        <f>(Sales_Data[[#This Row],[Profit]]/Sales_Data[[#This Row],[Revenue]])</f>
        <v>0.17690670787080337</v>
      </c>
    </row>
    <row r="504" spans="1:16" x14ac:dyDescent="0.35">
      <c r="A504" t="s">
        <v>851</v>
      </c>
      <c r="B504" s="5" t="s">
        <v>585</v>
      </c>
      <c r="C504" s="5" t="s">
        <v>235</v>
      </c>
      <c r="D504" s="5" t="str">
        <f>"Q"&amp;ROUNDUP(MONTH(B504)/3,0)</f>
        <v>Q3</v>
      </c>
      <c r="E504" t="s">
        <v>4</v>
      </c>
      <c r="F504" t="s">
        <v>22</v>
      </c>
      <c r="G504" t="s">
        <v>214</v>
      </c>
      <c r="H504" t="s">
        <v>9</v>
      </c>
      <c r="I504" t="s">
        <v>8</v>
      </c>
      <c r="J504" s="4">
        <v>6</v>
      </c>
      <c r="K504" s="3">
        <v>54475.13</v>
      </c>
      <c r="L504">
        <v>10</v>
      </c>
      <c r="M504" s="2">
        <v>294165.7</v>
      </c>
      <c r="N504" s="2">
        <v>236135.41</v>
      </c>
      <c r="O504" s="2">
        <v>58030.29</v>
      </c>
      <c r="P504" s="1">
        <f>(Sales_Data[[#This Row],[Profit]]/Sales_Data[[#This Row],[Revenue]])</f>
        <v>0.19727075590390042</v>
      </c>
    </row>
    <row r="505" spans="1:16" x14ac:dyDescent="0.35">
      <c r="A505" t="s">
        <v>850</v>
      </c>
      <c r="B505" s="5" t="s">
        <v>218</v>
      </c>
      <c r="C505" s="5" t="s">
        <v>217</v>
      </c>
      <c r="D505" s="5" t="str">
        <f>"Q"&amp;ROUNDUP(MONTH(B505)/3,0)</f>
        <v>Q2</v>
      </c>
      <c r="E505" t="s">
        <v>4</v>
      </c>
      <c r="F505" t="s">
        <v>3</v>
      </c>
      <c r="G505" t="s">
        <v>214</v>
      </c>
      <c r="H505" t="s">
        <v>50</v>
      </c>
      <c r="I505" t="s">
        <v>49</v>
      </c>
      <c r="J505" s="4">
        <v>3</v>
      </c>
      <c r="K505" s="3">
        <v>4726.1499999999996</v>
      </c>
      <c r="L505">
        <v>10</v>
      </c>
      <c r="M505" s="2">
        <v>12760.6</v>
      </c>
      <c r="N505" s="2">
        <v>8341.65</v>
      </c>
      <c r="O505" s="2">
        <v>4418.95</v>
      </c>
      <c r="P505" s="1">
        <f>(Sales_Data[[#This Row],[Profit]]/Sales_Data[[#This Row],[Revenue]])</f>
        <v>0.34629641239440151</v>
      </c>
    </row>
    <row r="506" spans="1:16" x14ac:dyDescent="0.35">
      <c r="A506" t="s">
        <v>849</v>
      </c>
      <c r="B506" s="5" t="s">
        <v>839</v>
      </c>
      <c r="C506" s="5" t="s">
        <v>217</v>
      </c>
      <c r="D506" s="5" t="str">
        <f>"Q"&amp;ROUNDUP(MONTH(B506)/3,0)</f>
        <v>Q2</v>
      </c>
      <c r="E506" t="s">
        <v>23</v>
      </c>
      <c r="F506" t="s">
        <v>56</v>
      </c>
      <c r="G506" t="s">
        <v>15</v>
      </c>
      <c r="H506" t="s">
        <v>45</v>
      </c>
      <c r="I506" t="s">
        <v>8</v>
      </c>
      <c r="J506" s="4">
        <v>5</v>
      </c>
      <c r="K506" s="3">
        <v>864.37</v>
      </c>
      <c r="L506">
        <v>10</v>
      </c>
      <c r="M506" s="2">
        <v>3889.67</v>
      </c>
      <c r="N506" s="2">
        <v>3255.15</v>
      </c>
      <c r="O506" s="2">
        <v>634.52</v>
      </c>
      <c r="P506" s="1">
        <f>(Sales_Data[[#This Row],[Profit]]/Sales_Data[[#This Row],[Revenue]])</f>
        <v>0.16312951998498587</v>
      </c>
    </row>
    <row r="507" spans="1:16" x14ac:dyDescent="0.35">
      <c r="A507" t="s">
        <v>848</v>
      </c>
      <c r="B507" s="5" t="s">
        <v>847</v>
      </c>
      <c r="C507" s="5" t="s">
        <v>217</v>
      </c>
      <c r="D507" s="5" t="str">
        <f>"Q"&amp;ROUNDUP(MONTH(B507)/3,0)</f>
        <v>Q2</v>
      </c>
      <c r="E507" t="s">
        <v>4</v>
      </c>
      <c r="F507" t="s">
        <v>22</v>
      </c>
      <c r="G507" t="s">
        <v>142</v>
      </c>
      <c r="H507" t="s">
        <v>14</v>
      </c>
      <c r="I507" t="s">
        <v>8</v>
      </c>
      <c r="J507" s="4">
        <v>5</v>
      </c>
      <c r="K507" s="3">
        <v>2732.55</v>
      </c>
      <c r="L507">
        <v>10</v>
      </c>
      <c r="M507" s="2">
        <v>12296.48</v>
      </c>
      <c r="N507" s="2">
        <v>8998.9699999999993</v>
      </c>
      <c r="O507" s="2">
        <v>3297.51</v>
      </c>
      <c r="P507" s="1">
        <f>(Sales_Data[[#This Row],[Profit]]/Sales_Data[[#This Row],[Revenue]])</f>
        <v>0.26816698762572705</v>
      </c>
    </row>
    <row r="508" spans="1:16" x14ac:dyDescent="0.35">
      <c r="A508" t="s">
        <v>846</v>
      </c>
      <c r="B508" s="5" t="s">
        <v>218</v>
      </c>
      <c r="C508" s="5" t="s">
        <v>217</v>
      </c>
      <c r="D508" s="5" t="str">
        <f>"Q"&amp;ROUNDUP(MONTH(B508)/3,0)</f>
        <v>Q2</v>
      </c>
      <c r="E508" t="s">
        <v>36</v>
      </c>
      <c r="F508" t="s">
        <v>3</v>
      </c>
      <c r="G508" t="s">
        <v>75</v>
      </c>
      <c r="H508" t="s">
        <v>34</v>
      </c>
      <c r="I508" t="s">
        <v>8</v>
      </c>
      <c r="J508" s="4">
        <v>8</v>
      </c>
      <c r="K508" s="3">
        <v>22598.83</v>
      </c>
      <c r="L508">
        <v>10</v>
      </c>
      <c r="M508" s="2">
        <v>162711.57999999999</v>
      </c>
      <c r="N508" s="2">
        <v>94389.47</v>
      </c>
      <c r="O508" s="2">
        <v>68322.11</v>
      </c>
      <c r="P508" s="1">
        <f>(Sales_Data[[#This Row],[Profit]]/Sales_Data[[#This Row],[Revenue]])</f>
        <v>0.41989703498669245</v>
      </c>
    </row>
    <row r="509" spans="1:16" x14ac:dyDescent="0.35">
      <c r="A509" t="s">
        <v>845</v>
      </c>
      <c r="B509" s="5" t="s">
        <v>551</v>
      </c>
      <c r="C509" s="5" t="s">
        <v>217</v>
      </c>
      <c r="D509" s="5" t="str">
        <f>"Q"&amp;ROUNDUP(MONTH(B509)/3,0)</f>
        <v>Q2</v>
      </c>
      <c r="E509" t="s">
        <v>36</v>
      </c>
      <c r="F509" t="s">
        <v>22</v>
      </c>
      <c r="G509" t="s">
        <v>309</v>
      </c>
      <c r="H509" t="s">
        <v>45</v>
      </c>
      <c r="I509" t="s">
        <v>8</v>
      </c>
      <c r="J509" s="4">
        <v>7</v>
      </c>
      <c r="K509" s="3">
        <v>986.95</v>
      </c>
      <c r="L509">
        <v>10</v>
      </c>
      <c r="M509" s="2">
        <v>6217.79</v>
      </c>
      <c r="N509" s="2">
        <v>3888.64</v>
      </c>
      <c r="O509" s="2">
        <v>2329.15</v>
      </c>
      <c r="P509" s="1">
        <f>(Sales_Data[[#This Row],[Profit]]/Sales_Data[[#This Row],[Revenue]])</f>
        <v>0.3745945102681178</v>
      </c>
    </row>
    <row r="510" spans="1:16" x14ac:dyDescent="0.35">
      <c r="A510" t="s">
        <v>844</v>
      </c>
      <c r="B510" s="5" t="s">
        <v>551</v>
      </c>
      <c r="C510" s="5" t="s">
        <v>217</v>
      </c>
      <c r="D510" s="5" t="str">
        <f>"Q"&amp;ROUNDUP(MONTH(B510)/3,0)</f>
        <v>Q2</v>
      </c>
      <c r="E510" t="s">
        <v>23</v>
      </c>
      <c r="F510" t="s">
        <v>11</v>
      </c>
      <c r="G510" t="s">
        <v>220</v>
      </c>
      <c r="H510" t="s">
        <v>111</v>
      </c>
      <c r="I510" t="s">
        <v>49</v>
      </c>
      <c r="J510" s="4">
        <v>2</v>
      </c>
      <c r="K510" s="3">
        <v>7613.8</v>
      </c>
      <c r="L510">
        <v>10</v>
      </c>
      <c r="M510" s="2">
        <v>13704.84</v>
      </c>
      <c r="N510" s="2">
        <v>8745.59</v>
      </c>
      <c r="O510" s="2">
        <v>4959.25</v>
      </c>
      <c r="P510" s="1">
        <f>(Sales_Data[[#This Row],[Profit]]/Sales_Data[[#This Row],[Revenue]])</f>
        <v>0.36186121107579511</v>
      </c>
    </row>
    <row r="511" spans="1:16" x14ac:dyDescent="0.35">
      <c r="A511" t="s">
        <v>843</v>
      </c>
      <c r="B511" s="5" t="s">
        <v>229</v>
      </c>
      <c r="C511" s="5" t="s">
        <v>217</v>
      </c>
      <c r="D511" s="5" t="str">
        <f>"Q"&amp;ROUNDUP(MONTH(B511)/3,0)</f>
        <v>Q2</v>
      </c>
      <c r="E511" t="s">
        <v>23</v>
      </c>
      <c r="F511" t="s">
        <v>3</v>
      </c>
      <c r="G511" t="s">
        <v>95</v>
      </c>
      <c r="H511" t="s">
        <v>59</v>
      </c>
      <c r="I511" t="s">
        <v>0</v>
      </c>
      <c r="J511" s="4">
        <v>4</v>
      </c>
      <c r="K511" s="3">
        <v>1353.69</v>
      </c>
      <c r="L511">
        <v>10</v>
      </c>
      <c r="M511" s="2">
        <v>4873.28</v>
      </c>
      <c r="N511" s="2">
        <v>3606.39</v>
      </c>
      <c r="O511" s="2">
        <v>1266.8900000000001</v>
      </c>
      <c r="P511" s="1">
        <f>(Sales_Data[[#This Row],[Profit]]/Sales_Data[[#This Row],[Revenue]])</f>
        <v>0.25996659334165084</v>
      </c>
    </row>
    <row r="512" spans="1:16" x14ac:dyDescent="0.35">
      <c r="A512" t="s">
        <v>842</v>
      </c>
      <c r="B512" s="5" t="s">
        <v>841</v>
      </c>
      <c r="C512" s="5" t="s">
        <v>217</v>
      </c>
      <c r="D512" s="5" t="str">
        <f>"Q"&amp;ROUNDUP(MONTH(B512)/3,0)</f>
        <v>Q2</v>
      </c>
      <c r="E512" t="s">
        <v>36</v>
      </c>
      <c r="F512" t="s">
        <v>63</v>
      </c>
      <c r="G512" t="s">
        <v>10</v>
      </c>
      <c r="H512" t="s">
        <v>14</v>
      </c>
      <c r="I512" t="s">
        <v>8</v>
      </c>
      <c r="J512" s="4">
        <v>1</v>
      </c>
      <c r="K512" s="3">
        <v>2547.83</v>
      </c>
      <c r="L512">
        <v>10</v>
      </c>
      <c r="M512" s="2">
        <v>2293.0500000000002</v>
      </c>
      <c r="N512" s="2">
        <v>1861.02</v>
      </c>
      <c r="O512" s="2">
        <v>432.03</v>
      </c>
      <c r="P512" s="1">
        <f>(Sales_Data[[#This Row],[Profit]]/Sales_Data[[#This Row],[Revenue]])</f>
        <v>0.18840845162556419</v>
      </c>
    </row>
    <row r="513" spans="1:16" x14ac:dyDescent="0.35">
      <c r="A513" t="s">
        <v>840</v>
      </c>
      <c r="B513" s="5" t="s">
        <v>839</v>
      </c>
      <c r="C513" s="5" t="s">
        <v>217</v>
      </c>
      <c r="D513" s="5" t="str">
        <f>"Q"&amp;ROUNDUP(MONTH(B513)/3,0)</f>
        <v>Q2</v>
      </c>
      <c r="E513" t="s">
        <v>36</v>
      </c>
      <c r="F513" t="s">
        <v>11</v>
      </c>
      <c r="G513" t="s">
        <v>68</v>
      </c>
      <c r="H513" t="s">
        <v>34</v>
      </c>
      <c r="I513" t="s">
        <v>8</v>
      </c>
      <c r="J513" s="4">
        <v>3</v>
      </c>
      <c r="K513" s="3">
        <v>26152.89</v>
      </c>
      <c r="L513">
        <v>10</v>
      </c>
      <c r="M513" s="2">
        <v>70612.800000000003</v>
      </c>
      <c r="N513" s="2">
        <v>49063.67</v>
      </c>
      <c r="O513" s="2">
        <v>21549.13</v>
      </c>
      <c r="P513" s="1">
        <f>(Sales_Data[[#This Row],[Profit]]/Sales_Data[[#This Row],[Revenue]])</f>
        <v>0.30517314141345481</v>
      </c>
    </row>
    <row r="514" spans="1:16" x14ac:dyDescent="0.35">
      <c r="A514" t="s">
        <v>838</v>
      </c>
      <c r="B514" s="5" t="s">
        <v>565</v>
      </c>
      <c r="C514" s="5" t="s">
        <v>217</v>
      </c>
      <c r="D514" s="5" t="str">
        <f>"Q"&amp;ROUNDUP(MONTH(B514)/3,0)</f>
        <v>Q2</v>
      </c>
      <c r="E514" t="s">
        <v>16</v>
      </c>
      <c r="F514" t="s">
        <v>52</v>
      </c>
      <c r="G514" t="s">
        <v>66</v>
      </c>
      <c r="H514" t="s">
        <v>59</v>
      </c>
      <c r="I514" t="s">
        <v>0</v>
      </c>
      <c r="J514" s="4">
        <v>6</v>
      </c>
      <c r="K514" s="3">
        <v>1571.59</v>
      </c>
      <c r="L514">
        <v>10</v>
      </c>
      <c r="M514" s="2">
        <v>8486.59</v>
      </c>
      <c r="N514" s="2">
        <v>5273.12</v>
      </c>
      <c r="O514" s="2">
        <v>3213.47</v>
      </c>
      <c r="P514" s="1">
        <f>(Sales_Data[[#This Row],[Profit]]/Sales_Data[[#This Row],[Revenue]])</f>
        <v>0.37865267439572309</v>
      </c>
    </row>
    <row r="515" spans="1:16" x14ac:dyDescent="0.35">
      <c r="A515" t="s">
        <v>837</v>
      </c>
      <c r="B515" s="5" t="s">
        <v>555</v>
      </c>
      <c r="C515" s="5" t="s">
        <v>217</v>
      </c>
      <c r="D515" s="5" t="str">
        <f>"Q"&amp;ROUNDUP(MONTH(B515)/3,0)</f>
        <v>Q2</v>
      </c>
      <c r="E515" t="s">
        <v>36</v>
      </c>
      <c r="F515" t="s">
        <v>3</v>
      </c>
      <c r="G515" t="s">
        <v>369</v>
      </c>
      <c r="H515" t="s">
        <v>1</v>
      </c>
      <c r="I515" t="s">
        <v>0</v>
      </c>
      <c r="J515" s="4">
        <v>8</v>
      </c>
      <c r="K515" s="3">
        <v>512.88</v>
      </c>
      <c r="L515">
        <v>10</v>
      </c>
      <c r="M515" s="2">
        <v>3692.74</v>
      </c>
      <c r="N515" s="2">
        <v>2521.14</v>
      </c>
      <c r="O515" s="2">
        <v>1171.5999999999999</v>
      </c>
      <c r="P515" s="1">
        <f>(Sales_Data[[#This Row],[Profit]]/Sales_Data[[#This Row],[Revenue]])</f>
        <v>0.31727118616528649</v>
      </c>
    </row>
    <row r="516" spans="1:16" x14ac:dyDescent="0.35">
      <c r="A516" t="s">
        <v>836</v>
      </c>
      <c r="B516" s="5" t="s">
        <v>575</v>
      </c>
      <c r="C516" s="5" t="s">
        <v>217</v>
      </c>
      <c r="D516" s="5" t="str">
        <f>"Q"&amp;ROUNDUP(MONTH(B516)/3,0)</f>
        <v>Q2</v>
      </c>
      <c r="E516" t="s">
        <v>23</v>
      </c>
      <c r="F516" t="s">
        <v>11</v>
      </c>
      <c r="G516" t="s">
        <v>142</v>
      </c>
      <c r="H516" t="s">
        <v>20</v>
      </c>
      <c r="I516" t="s">
        <v>19</v>
      </c>
      <c r="J516" s="4">
        <v>1</v>
      </c>
      <c r="K516" s="3">
        <v>27.3</v>
      </c>
      <c r="L516">
        <v>10</v>
      </c>
      <c r="M516" s="2">
        <v>24.57</v>
      </c>
      <c r="N516" s="2">
        <v>19.850000000000001</v>
      </c>
      <c r="O516" s="2">
        <v>4.72</v>
      </c>
      <c r="P516" s="1">
        <f>(Sales_Data[[#This Row],[Profit]]/Sales_Data[[#This Row],[Revenue]])</f>
        <v>0.19210419210419208</v>
      </c>
    </row>
    <row r="517" spans="1:16" x14ac:dyDescent="0.35">
      <c r="A517" t="s">
        <v>835</v>
      </c>
      <c r="B517" s="5" t="s">
        <v>532</v>
      </c>
      <c r="C517" s="5" t="s">
        <v>184</v>
      </c>
      <c r="D517" s="5" t="str">
        <f>"Q"&amp;ROUNDUP(MONTH(B517)/3,0)</f>
        <v>Q1</v>
      </c>
      <c r="E517" t="s">
        <v>23</v>
      </c>
      <c r="F517" t="s">
        <v>22</v>
      </c>
      <c r="G517" t="s">
        <v>75</v>
      </c>
      <c r="H517" t="s">
        <v>34</v>
      </c>
      <c r="I517" t="s">
        <v>8</v>
      </c>
      <c r="J517" s="4">
        <v>7</v>
      </c>
      <c r="K517" s="3">
        <v>27424.21</v>
      </c>
      <c r="L517">
        <v>10</v>
      </c>
      <c r="M517" s="2">
        <v>172772.52</v>
      </c>
      <c r="N517" s="2">
        <v>138136.39000000001</v>
      </c>
      <c r="O517" s="2">
        <v>34636.129999999997</v>
      </c>
      <c r="P517" s="1">
        <f>(Sales_Data[[#This Row],[Profit]]/Sales_Data[[#This Row],[Revenue]])</f>
        <v>0.20047244781751172</v>
      </c>
    </row>
    <row r="518" spans="1:16" x14ac:dyDescent="0.35">
      <c r="A518" t="s">
        <v>834</v>
      </c>
      <c r="B518" s="5" t="s">
        <v>818</v>
      </c>
      <c r="C518" s="5" t="s">
        <v>184</v>
      </c>
      <c r="D518" s="5" t="str">
        <f>"Q"&amp;ROUNDUP(MONTH(B518)/3,0)</f>
        <v>Q1</v>
      </c>
      <c r="E518" t="s">
        <v>36</v>
      </c>
      <c r="F518" t="s">
        <v>22</v>
      </c>
      <c r="G518" t="s">
        <v>92</v>
      </c>
      <c r="H518" t="s">
        <v>50</v>
      </c>
      <c r="I518" t="s">
        <v>49</v>
      </c>
      <c r="J518" s="4">
        <v>4</v>
      </c>
      <c r="K518" s="3">
        <v>4168.75</v>
      </c>
      <c r="L518">
        <v>10</v>
      </c>
      <c r="M518" s="2">
        <v>15007.5</v>
      </c>
      <c r="N518" s="2">
        <v>8848.24</v>
      </c>
      <c r="O518" s="2">
        <v>6159.26</v>
      </c>
      <c r="P518" s="1">
        <f>(Sales_Data[[#This Row],[Profit]]/Sales_Data[[#This Row],[Revenue]])</f>
        <v>0.4104121272696985</v>
      </c>
    </row>
    <row r="519" spans="1:16" x14ac:dyDescent="0.35">
      <c r="A519" t="s">
        <v>833</v>
      </c>
      <c r="B519" s="5" t="s">
        <v>832</v>
      </c>
      <c r="C519" s="5" t="s">
        <v>184</v>
      </c>
      <c r="D519" s="5" t="str">
        <f>"Q"&amp;ROUNDUP(MONTH(B519)/3,0)</f>
        <v>Q1</v>
      </c>
      <c r="E519" t="s">
        <v>4</v>
      </c>
      <c r="F519" t="s">
        <v>3</v>
      </c>
      <c r="G519" t="s">
        <v>26</v>
      </c>
      <c r="H519" t="s">
        <v>9</v>
      </c>
      <c r="I519" t="s">
        <v>8</v>
      </c>
      <c r="J519" s="4">
        <v>8</v>
      </c>
      <c r="K519" s="3">
        <v>60677.440000000002</v>
      </c>
      <c r="L519">
        <v>10</v>
      </c>
      <c r="M519" s="2">
        <v>436877.57</v>
      </c>
      <c r="N519" s="2">
        <v>307133.44</v>
      </c>
      <c r="O519" s="2">
        <v>129744.13</v>
      </c>
      <c r="P519" s="1">
        <f>(Sales_Data[[#This Row],[Profit]]/Sales_Data[[#This Row],[Revenue]])</f>
        <v>0.29698052477264969</v>
      </c>
    </row>
    <row r="520" spans="1:16" x14ac:dyDescent="0.35">
      <c r="A520" t="s">
        <v>831</v>
      </c>
      <c r="B520" s="5" t="s">
        <v>210</v>
      </c>
      <c r="C520" s="5" t="s">
        <v>184</v>
      </c>
      <c r="D520" s="5" t="str">
        <f>"Q"&amp;ROUNDUP(MONTH(B520)/3,0)</f>
        <v>Q1</v>
      </c>
      <c r="E520" t="s">
        <v>4</v>
      </c>
      <c r="F520" t="s">
        <v>11</v>
      </c>
      <c r="G520" t="s">
        <v>169</v>
      </c>
      <c r="H520" t="s">
        <v>111</v>
      </c>
      <c r="I520" t="s">
        <v>49</v>
      </c>
      <c r="J520" s="4">
        <v>2</v>
      </c>
      <c r="K520" s="3">
        <v>7941.58</v>
      </c>
      <c r="L520">
        <v>10</v>
      </c>
      <c r="M520" s="2">
        <v>14294.84</v>
      </c>
      <c r="N520" s="2">
        <v>9714.24</v>
      </c>
      <c r="O520" s="2">
        <v>4580.6000000000004</v>
      </c>
      <c r="P520" s="1">
        <f>(Sales_Data[[#This Row],[Profit]]/Sales_Data[[#This Row],[Revenue]])</f>
        <v>0.32043730464978976</v>
      </c>
    </row>
    <row r="521" spans="1:16" x14ac:dyDescent="0.35">
      <c r="A521" t="s">
        <v>830</v>
      </c>
      <c r="B521" s="5" t="s">
        <v>189</v>
      </c>
      <c r="C521" s="5" t="s">
        <v>184</v>
      </c>
      <c r="D521" s="5" t="str">
        <f>"Q"&amp;ROUNDUP(MONTH(B521)/3,0)</f>
        <v>Q1</v>
      </c>
      <c r="E521" t="s">
        <v>4</v>
      </c>
      <c r="F521" t="s">
        <v>22</v>
      </c>
      <c r="G521" t="s">
        <v>147</v>
      </c>
      <c r="H521" t="s">
        <v>34</v>
      </c>
      <c r="I521" t="s">
        <v>8</v>
      </c>
      <c r="J521" s="4">
        <v>3</v>
      </c>
      <c r="K521" s="3">
        <v>24026.13</v>
      </c>
      <c r="L521">
        <v>10</v>
      </c>
      <c r="M521" s="2">
        <v>64870.55</v>
      </c>
      <c r="N521" s="2">
        <v>48415.16</v>
      </c>
      <c r="O521" s="2">
        <v>16455.39</v>
      </c>
      <c r="P521" s="1">
        <f>(Sales_Data[[#This Row],[Profit]]/Sales_Data[[#This Row],[Revenue]])</f>
        <v>0.25366502981707412</v>
      </c>
    </row>
    <row r="522" spans="1:16" x14ac:dyDescent="0.35">
      <c r="A522" t="s">
        <v>829</v>
      </c>
      <c r="B522" s="5" t="s">
        <v>538</v>
      </c>
      <c r="C522" s="5" t="s">
        <v>184</v>
      </c>
      <c r="D522" s="5" t="str">
        <f>"Q"&amp;ROUNDUP(MONTH(B522)/3,0)</f>
        <v>Q1</v>
      </c>
      <c r="E522" t="s">
        <v>16</v>
      </c>
      <c r="F522" t="s">
        <v>63</v>
      </c>
      <c r="G522" t="s">
        <v>128</v>
      </c>
      <c r="H522" t="s">
        <v>111</v>
      </c>
      <c r="I522" t="s">
        <v>49</v>
      </c>
      <c r="J522" s="4">
        <v>6</v>
      </c>
      <c r="K522" s="3">
        <v>8400.99</v>
      </c>
      <c r="L522">
        <v>10</v>
      </c>
      <c r="M522" s="2">
        <v>45365.35</v>
      </c>
      <c r="N522" s="2">
        <v>36657.14</v>
      </c>
      <c r="O522" s="2">
        <v>8708.2099999999991</v>
      </c>
      <c r="P522" s="1">
        <f>(Sales_Data[[#This Row],[Profit]]/Sales_Data[[#This Row],[Revenue]])</f>
        <v>0.19195729780548368</v>
      </c>
    </row>
    <row r="523" spans="1:16" x14ac:dyDescent="0.35">
      <c r="A523" t="s">
        <v>828</v>
      </c>
      <c r="B523" s="5" t="s">
        <v>195</v>
      </c>
      <c r="C523" s="5" t="s">
        <v>184</v>
      </c>
      <c r="D523" s="5" t="str">
        <f>"Q"&amp;ROUNDUP(MONTH(B523)/3,0)</f>
        <v>Q1</v>
      </c>
      <c r="E523" t="s">
        <v>36</v>
      </c>
      <c r="F523" t="s">
        <v>63</v>
      </c>
      <c r="G523" t="s">
        <v>191</v>
      </c>
      <c r="H523" t="s">
        <v>20</v>
      </c>
      <c r="I523" t="s">
        <v>19</v>
      </c>
      <c r="J523" s="4">
        <v>2</v>
      </c>
      <c r="K523" s="3">
        <v>30.29</v>
      </c>
      <c r="L523">
        <v>10</v>
      </c>
      <c r="M523" s="2">
        <v>54.52</v>
      </c>
      <c r="N523" s="2">
        <v>30.08</v>
      </c>
      <c r="O523" s="2">
        <v>24.44</v>
      </c>
      <c r="P523" s="1">
        <f>(Sales_Data[[#This Row],[Profit]]/Sales_Data[[#This Row],[Revenue]])</f>
        <v>0.44827586206896552</v>
      </c>
    </row>
    <row r="524" spans="1:16" x14ac:dyDescent="0.35">
      <c r="A524" t="s">
        <v>827</v>
      </c>
      <c r="B524" s="5" t="s">
        <v>187</v>
      </c>
      <c r="C524" s="5" t="s">
        <v>184</v>
      </c>
      <c r="D524" s="5" t="str">
        <f>"Q"&amp;ROUNDUP(MONTH(B524)/3,0)</f>
        <v>Q1</v>
      </c>
      <c r="E524" t="s">
        <v>4</v>
      </c>
      <c r="F524" t="s">
        <v>3</v>
      </c>
      <c r="G524" t="s">
        <v>108</v>
      </c>
      <c r="H524" t="s">
        <v>14</v>
      </c>
      <c r="I524" t="s">
        <v>8</v>
      </c>
      <c r="J524" s="4">
        <v>8</v>
      </c>
      <c r="K524" s="3">
        <v>2365.86</v>
      </c>
      <c r="L524">
        <v>10</v>
      </c>
      <c r="M524" s="2">
        <v>17034.189999999999</v>
      </c>
      <c r="N524" s="2">
        <v>14059.13</v>
      </c>
      <c r="O524" s="2">
        <v>2975.06</v>
      </c>
      <c r="P524" s="1">
        <f>(Sales_Data[[#This Row],[Profit]]/Sales_Data[[#This Row],[Revenue]])</f>
        <v>0.17465227287003374</v>
      </c>
    </row>
    <row r="525" spans="1:16" x14ac:dyDescent="0.35">
      <c r="A525" t="s">
        <v>826</v>
      </c>
      <c r="B525" s="5" t="s">
        <v>536</v>
      </c>
      <c r="C525" s="5" t="s">
        <v>184</v>
      </c>
      <c r="D525" s="5" t="str">
        <f>"Q"&amp;ROUNDUP(MONTH(B525)/3,0)</f>
        <v>Q1</v>
      </c>
      <c r="E525" t="s">
        <v>36</v>
      </c>
      <c r="F525" t="s">
        <v>52</v>
      </c>
      <c r="G525" t="s">
        <v>26</v>
      </c>
      <c r="H525" t="s">
        <v>50</v>
      </c>
      <c r="I525" t="s">
        <v>49</v>
      </c>
      <c r="J525" s="4">
        <v>8</v>
      </c>
      <c r="K525" s="3">
        <v>4500.7</v>
      </c>
      <c r="L525">
        <v>10</v>
      </c>
      <c r="M525" s="2">
        <v>32405.040000000001</v>
      </c>
      <c r="N525" s="2">
        <v>27347.25</v>
      </c>
      <c r="O525" s="2">
        <v>5057.79</v>
      </c>
      <c r="P525" s="1">
        <f>(Sales_Data[[#This Row],[Profit]]/Sales_Data[[#This Row],[Revenue]])</f>
        <v>0.1560803504640019</v>
      </c>
    </row>
    <row r="526" spans="1:16" x14ac:dyDescent="0.35">
      <c r="A526" t="s">
        <v>825</v>
      </c>
      <c r="B526" s="5" t="s">
        <v>212</v>
      </c>
      <c r="C526" s="5" t="s">
        <v>184</v>
      </c>
      <c r="D526" s="5" t="str">
        <f>"Q"&amp;ROUNDUP(MONTH(B526)/3,0)</f>
        <v>Q1</v>
      </c>
      <c r="E526" t="s">
        <v>23</v>
      </c>
      <c r="F526" t="s">
        <v>56</v>
      </c>
      <c r="G526" t="s">
        <v>150</v>
      </c>
      <c r="H526" t="s">
        <v>59</v>
      </c>
      <c r="I526" t="s">
        <v>0</v>
      </c>
      <c r="J526" s="4">
        <v>1</v>
      </c>
      <c r="K526" s="3">
        <v>1618.6</v>
      </c>
      <c r="L526">
        <v>10</v>
      </c>
      <c r="M526" s="2">
        <v>1456.74</v>
      </c>
      <c r="N526" s="2">
        <v>884.68</v>
      </c>
      <c r="O526" s="2">
        <v>572.05999999999995</v>
      </c>
      <c r="P526" s="1">
        <f>(Sales_Data[[#This Row],[Profit]]/Sales_Data[[#This Row],[Revenue]])</f>
        <v>0.39269876573719398</v>
      </c>
    </row>
    <row r="527" spans="1:16" x14ac:dyDescent="0.35">
      <c r="A527" t="s">
        <v>824</v>
      </c>
      <c r="B527" s="5" t="s">
        <v>195</v>
      </c>
      <c r="C527" s="5" t="s">
        <v>184</v>
      </c>
      <c r="D527" s="5" t="str">
        <f>"Q"&amp;ROUNDUP(MONTH(B527)/3,0)</f>
        <v>Q1</v>
      </c>
      <c r="E527" t="s">
        <v>36</v>
      </c>
      <c r="F527" t="s">
        <v>63</v>
      </c>
      <c r="G527" t="s">
        <v>166</v>
      </c>
      <c r="H527" t="s">
        <v>50</v>
      </c>
      <c r="I527" t="s">
        <v>49</v>
      </c>
      <c r="J527" s="4">
        <v>6</v>
      </c>
      <c r="K527" s="3">
        <v>4300.8100000000004</v>
      </c>
      <c r="L527">
        <v>10</v>
      </c>
      <c r="M527" s="2">
        <v>23224.37</v>
      </c>
      <c r="N527" s="2">
        <v>15567.18</v>
      </c>
      <c r="O527" s="2">
        <v>7657.19</v>
      </c>
      <c r="P527" s="1">
        <f>(Sales_Data[[#This Row],[Profit]]/Sales_Data[[#This Row],[Revenue]])</f>
        <v>0.32970496078042161</v>
      </c>
    </row>
    <row r="528" spans="1:16" x14ac:dyDescent="0.35">
      <c r="A528" t="s">
        <v>823</v>
      </c>
      <c r="B528" s="5" t="s">
        <v>822</v>
      </c>
      <c r="C528" s="5" t="s">
        <v>184</v>
      </c>
      <c r="D528" s="5" t="str">
        <f>"Q"&amp;ROUNDUP(MONTH(B528)/3,0)</f>
        <v>Q1</v>
      </c>
      <c r="E528" t="s">
        <v>36</v>
      </c>
      <c r="F528" t="s">
        <v>63</v>
      </c>
      <c r="G528" t="s">
        <v>150</v>
      </c>
      <c r="H528" t="s">
        <v>59</v>
      </c>
      <c r="I528" t="s">
        <v>0</v>
      </c>
      <c r="J528" s="4">
        <v>7</v>
      </c>
      <c r="K528" s="3">
        <v>1390.66</v>
      </c>
      <c r="L528">
        <v>10</v>
      </c>
      <c r="M528" s="2">
        <v>8761.16</v>
      </c>
      <c r="N528" s="2">
        <v>5550.41</v>
      </c>
      <c r="O528" s="2">
        <v>3210.75</v>
      </c>
      <c r="P528" s="1">
        <f>(Sales_Data[[#This Row],[Profit]]/Sales_Data[[#This Row],[Revenue]])</f>
        <v>0.36647544389099163</v>
      </c>
    </row>
    <row r="529" spans="1:16" x14ac:dyDescent="0.35">
      <c r="A529" t="s">
        <v>821</v>
      </c>
      <c r="B529" s="5" t="s">
        <v>206</v>
      </c>
      <c r="C529" s="5" t="s">
        <v>184</v>
      </c>
      <c r="D529" s="5" t="str">
        <f>"Q"&amp;ROUNDUP(MONTH(B529)/3,0)</f>
        <v>Q1</v>
      </c>
      <c r="E529" t="s">
        <v>16</v>
      </c>
      <c r="F529" t="s">
        <v>22</v>
      </c>
      <c r="G529" t="s">
        <v>95</v>
      </c>
      <c r="H529" t="s">
        <v>9</v>
      </c>
      <c r="I529" t="s">
        <v>8</v>
      </c>
      <c r="J529" s="4">
        <v>7</v>
      </c>
      <c r="K529" s="3">
        <v>59483.61</v>
      </c>
      <c r="L529">
        <v>10</v>
      </c>
      <c r="M529" s="2">
        <v>374746.74</v>
      </c>
      <c r="N529" s="2">
        <v>225130.64</v>
      </c>
      <c r="O529" s="2">
        <v>149616.1</v>
      </c>
      <c r="P529" s="1">
        <f>(Sales_Data[[#This Row],[Profit]]/Sales_Data[[#This Row],[Revenue]])</f>
        <v>0.39924590137862176</v>
      </c>
    </row>
    <row r="530" spans="1:16" x14ac:dyDescent="0.35">
      <c r="A530" t="s">
        <v>820</v>
      </c>
      <c r="B530" s="5" t="s">
        <v>195</v>
      </c>
      <c r="C530" s="5" t="s">
        <v>184</v>
      </c>
      <c r="D530" s="5" t="str">
        <f>"Q"&amp;ROUNDUP(MONTH(B530)/3,0)</f>
        <v>Q1</v>
      </c>
      <c r="E530" t="s">
        <v>36</v>
      </c>
      <c r="F530" t="s">
        <v>56</v>
      </c>
      <c r="G530" t="s">
        <v>191</v>
      </c>
      <c r="H530" t="s">
        <v>34</v>
      </c>
      <c r="I530" t="s">
        <v>8</v>
      </c>
      <c r="J530" s="4">
        <v>1</v>
      </c>
      <c r="K530" s="3">
        <v>26387.22</v>
      </c>
      <c r="L530">
        <v>10</v>
      </c>
      <c r="M530" s="2">
        <v>23748.5</v>
      </c>
      <c r="N530" s="2">
        <v>19277.11</v>
      </c>
      <c r="O530" s="2">
        <v>4471.3900000000003</v>
      </c>
      <c r="P530" s="1">
        <f>(Sales_Data[[#This Row],[Profit]]/Sales_Data[[#This Row],[Revenue]])</f>
        <v>0.18828094405962484</v>
      </c>
    </row>
    <row r="531" spans="1:16" x14ac:dyDescent="0.35">
      <c r="A531" t="s">
        <v>819</v>
      </c>
      <c r="B531" s="5" t="s">
        <v>818</v>
      </c>
      <c r="C531" s="5" t="s">
        <v>184</v>
      </c>
      <c r="D531" s="5" t="str">
        <f>"Q"&amp;ROUNDUP(MONTH(B531)/3,0)</f>
        <v>Q1</v>
      </c>
      <c r="E531" t="s">
        <v>23</v>
      </c>
      <c r="F531" t="s">
        <v>63</v>
      </c>
      <c r="G531" t="s">
        <v>26</v>
      </c>
      <c r="H531" t="s">
        <v>34</v>
      </c>
      <c r="I531" t="s">
        <v>8</v>
      </c>
      <c r="J531" s="4">
        <v>1</v>
      </c>
      <c r="K531" s="3">
        <v>25475.27</v>
      </c>
      <c r="L531">
        <v>10</v>
      </c>
      <c r="M531" s="2">
        <v>22927.74</v>
      </c>
      <c r="N531" s="2">
        <v>12791.03</v>
      </c>
      <c r="O531" s="2">
        <v>10136.709999999999</v>
      </c>
      <c r="P531" s="1">
        <f>(Sales_Data[[#This Row],[Profit]]/Sales_Data[[#This Row],[Revenue]])</f>
        <v>0.44211553341061954</v>
      </c>
    </row>
    <row r="532" spans="1:16" x14ac:dyDescent="0.35">
      <c r="A532" t="s">
        <v>817</v>
      </c>
      <c r="B532" s="5" t="s">
        <v>156</v>
      </c>
      <c r="C532" s="5" t="s">
        <v>151</v>
      </c>
      <c r="D532" s="5" t="str">
        <f>"Q"&amp;ROUNDUP(MONTH(B532)/3,0)</f>
        <v>Q2</v>
      </c>
      <c r="E532" t="s">
        <v>23</v>
      </c>
      <c r="F532" t="s">
        <v>52</v>
      </c>
      <c r="G532" t="s">
        <v>98</v>
      </c>
      <c r="H532" t="s">
        <v>50</v>
      </c>
      <c r="I532" t="s">
        <v>49</v>
      </c>
      <c r="J532" s="4">
        <v>4</v>
      </c>
      <c r="K532" s="3">
        <v>4727.1400000000003</v>
      </c>
      <c r="L532">
        <v>10</v>
      </c>
      <c r="M532" s="2">
        <v>17017.7</v>
      </c>
      <c r="N532" s="2">
        <v>12812.63</v>
      </c>
      <c r="O532" s="2">
        <v>4205.07</v>
      </c>
      <c r="P532" s="1">
        <f>(Sales_Data[[#This Row],[Profit]]/Sales_Data[[#This Row],[Revenue]])</f>
        <v>0.24709978434218488</v>
      </c>
    </row>
    <row r="533" spans="1:16" x14ac:dyDescent="0.35">
      <c r="A533" t="s">
        <v>816</v>
      </c>
      <c r="B533" s="5" t="s">
        <v>815</v>
      </c>
      <c r="C533" s="5" t="s">
        <v>151</v>
      </c>
      <c r="D533" s="5" t="str">
        <f>"Q"&amp;ROUNDUP(MONTH(B533)/3,0)</f>
        <v>Q2</v>
      </c>
      <c r="E533" t="s">
        <v>23</v>
      </c>
      <c r="F533" t="s">
        <v>63</v>
      </c>
      <c r="G533" t="s">
        <v>150</v>
      </c>
      <c r="H533" t="s">
        <v>59</v>
      </c>
      <c r="I533" t="s">
        <v>0</v>
      </c>
      <c r="J533" s="4">
        <v>8</v>
      </c>
      <c r="K533" s="3">
        <v>1390.69</v>
      </c>
      <c r="L533">
        <v>10</v>
      </c>
      <c r="M533" s="2">
        <v>10012.969999999999</v>
      </c>
      <c r="N533" s="2">
        <v>7775.99</v>
      </c>
      <c r="O533" s="2">
        <v>2236.98</v>
      </c>
      <c r="P533" s="1">
        <f>(Sales_Data[[#This Row],[Profit]]/Sales_Data[[#This Row],[Revenue]])</f>
        <v>0.2234082395133512</v>
      </c>
    </row>
    <row r="534" spans="1:16" x14ac:dyDescent="0.35">
      <c r="A534" t="s">
        <v>814</v>
      </c>
      <c r="B534" s="5" t="s">
        <v>807</v>
      </c>
      <c r="C534" s="5" t="s">
        <v>151</v>
      </c>
      <c r="D534" s="5" t="str">
        <f>"Q"&amp;ROUNDUP(MONTH(B534)/3,0)</f>
        <v>Q2</v>
      </c>
      <c r="E534" t="s">
        <v>36</v>
      </c>
      <c r="F534" t="s">
        <v>22</v>
      </c>
      <c r="G534" t="s">
        <v>42</v>
      </c>
      <c r="H534" t="s">
        <v>59</v>
      </c>
      <c r="I534" t="s">
        <v>0</v>
      </c>
      <c r="J534" s="4">
        <v>1</v>
      </c>
      <c r="K534" s="3">
        <v>1513.83</v>
      </c>
      <c r="L534">
        <v>10</v>
      </c>
      <c r="M534" s="2">
        <v>1362.45</v>
      </c>
      <c r="N534" s="2">
        <v>785.92</v>
      </c>
      <c r="O534" s="2">
        <v>576.53</v>
      </c>
      <c r="P534" s="1">
        <f>(Sales_Data[[#This Row],[Profit]]/Sales_Data[[#This Row],[Revenue]])</f>
        <v>0.42315681309405845</v>
      </c>
    </row>
    <row r="535" spans="1:16" x14ac:dyDescent="0.35">
      <c r="A535" t="s">
        <v>813</v>
      </c>
      <c r="B535" s="5" t="s">
        <v>490</v>
      </c>
      <c r="C535" s="5" t="s">
        <v>151</v>
      </c>
      <c r="D535" s="5" t="str">
        <f>"Q"&amp;ROUNDUP(MONTH(B535)/3,0)</f>
        <v>Q2</v>
      </c>
      <c r="E535" t="s">
        <v>36</v>
      </c>
      <c r="F535" t="s">
        <v>63</v>
      </c>
      <c r="G535" t="s">
        <v>174</v>
      </c>
      <c r="H535" t="s">
        <v>1</v>
      </c>
      <c r="I535" t="s">
        <v>0</v>
      </c>
      <c r="J535" s="4">
        <v>4</v>
      </c>
      <c r="K535" s="3">
        <v>474.94</v>
      </c>
      <c r="L535">
        <v>10</v>
      </c>
      <c r="M535" s="2">
        <v>1709.78</v>
      </c>
      <c r="N535" s="2">
        <v>1129.4000000000001</v>
      </c>
      <c r="O535" s="2">
        <v>580.38</v>
      </c>
      <c r="P535" s="1">
        <f>(Sales_Data[[#This Row],[Profit]]/Sales_Data[[#This Row],[Revenue]])</f>
        <v>0.33944718033899096</v>
      </c>
    </row>
    <row r="536" spans="1:16" x14ac:dyDescent="0.35">
      <c r="A536" t="s">
        <v>812</v>
      </c>
      <c r="B536" s="5" t="s">
        <v>512</v>
      </c>
      <c r="C536" s="5" t="s">
        <v>151</v>
      </c>
      <c r="D536" s="5" t="str">
        <f>"Q"&amp;ROUNDUP(MONTH(B536)/3,0)</f>
        <v>Q2</v>
      </c>
      <c r="E536" t="s">
        <v>23</v>
      </c>
      <c r="F536" t="s">
        <v>3</v>
      </c>
      <c r="G536" t="s">
        <v>2</v>
      </c>
      <c r="H536" t="s">
        <v>1</v>
      </c>
      <c r="I536" t="s">
        <v>0</v>
      </c>
      <c r="J536" s="4">
        <v>6</v>
      </c>
      <c r="K536" s="3">
        <v>464.15</v>
      </c>
      <c r="L536">
        <v>10</v>
      </c>
      <c r="M536" s="2">
        <v>2506.41</v>
      </c>
      <c r="N536" s="2">
        <v>1619.73</v>
      </c>
      <c r="O536" s="2">
        <v>886.68</v>
      </c>
      <c r="P536" s="1">
        <f>(Sales_Data[[#This Row],[Profit]]/Sales_Data[[#This Row],[Revenue]])</f>
        <v>0.35376494667672087</v>
      </c>
    </row>
    <row r="537" spans="1:16" x14ac:dyDescent="0.35">
      <c r="A537" t="s">
        <v>811</v>
      </c>
      <c r="B537" s="5" t="s">
        <v>488</v>
      </c>
      <c r="C537" s="5" t="s">
        <v>151</v>
      </c>
      <c r="D537" s="5" t="str">
        <f>"Q"&amp;ROUNDUP(MONTH(B537)/3,0)</f>
        <v>Q2</v>
      </c>
      <c r="E537" t="s">
        <v>4</v>
      </c>
      <c r="F537" t="s">
        <v>52</v>
      </c>
      <c r="G537" t="s">
        <v>174</v>
      </c>
      <c r="H537" t="s">
        <v>20</v>
      </c>
      <c r="I537" t="s">
        <v>19</v>
      </c>
      <c r="J537" s="4">
        <v>7</v>
      </c>
      <c r="K537" s="3">
        <v>31.51</v>
      </c>
      <c r="L537">
        <v>10</v>
      </c>
      <c r="M537" s="2">
        <v>198.51</v>
      </c>
      <c r="N537" s="2">
        <v>153.69</v>
      </c>
      <c r="O537" s="2">
        <v>44.82</v>
      </c>
      <c r="P537" s="1">
        <f>(Sales_Data[[#This Row],[Profit]]/Sales_Data[[#This Row],[Revenue]])</f>
        <v>0.22578207646969928</v>
      </c>
    </row>
    <row r="538" spans="1:16" x14ac:dyDescent="0.35">
      <c r="A538" t="s">
        <v>810</v>
      </c>
      <c r="B538" s="5" t="s">
        <v>809</v>
      </c>
      <c r="C538" s="5" t="s">
        <v>151</v>
      </c>
      <c r="D538" s="5" t="str">
        <f>"Q"&amp;ROUNDUP(MONTH(B538)/3,0)</f>
        <v>Q2</v>
      </c>
      <c r="E538" t="s">
        <v>36</v>
      </c>
      <c r="F538" t="s">
        <v>63</v>
      </c>
      <c r="G538" t="s">
        <v>71</v>
      </c>
      <c r="H538" t="s">
        <v>45</v>
      </c>
      <c r="I538" t="s">
        <v>8</v>
      </c>
      <c r="J538" s="4">
        <v>8</v>
      </c>
      <c r="K538" s="3">
        <v>852.41</v>
      </c>
      <c r="L538">
        <v>10</v>
      </c>
      <c r="M538" s="2">
        <v>6137.35</v>
      </c>
      <c r="N538" s="2">
        <v>4841.91</v>
      </c>
      <c r="O538" s="2">
        <v>1295.44</v>
      </c>
      <c r="P538" s="1">
        <f>(Sales_Data[[#This Row],[Profit]]/Sales_Data[[#This Row],[Revenue]])</f>
        <v>0.21107481241904077</v>
      </c>
    </row>
    <row r="539" spans="1:16" x14ac:dyDescent="0.35">
      <c r="A539" t="s">
        <v>808</v>
      </c>
      <c r="B539" s="5" t="s">
        <v>807</v>
      </c>
      <c r="C539" s="5" t="s">
        <v>151</v>
      </c>
      <c r="D539" s="5" t="str">
        <f>"Q"&amp;ROUNDUP(MONTH(B539)/3,0)</f>
        <v>Q2</v>
      </c>
      <c r="E539" t="s">
        <v>4</v>
      </c>
      <c r="F539" t="s">
        <v>22</v>
      </c>
      <c r="G539" t="s">
        <v>104</v>
      </c>
      <c r="H539" t="s">
        <v>45</v>
      </c>
      <c r="I539" t="s">
        <v>8</v>
      </c>
      <c r="J539" s="4">
        <v>8</v>
      </c>
      <c r="K539" s="3">
        <v>852.23</v>
      </c>
      <c r="L539">
        <v>10</v>
      </c>
      <c r="M539" s="2">
        <v>6136.06</v>
      </c>
      <c r="N539" s="2">
        <v>4169.59</v>
      </c>
      <c r="O539" s="2">
        <v>1966.47</v>
      </c>
      <c r="P539" s="1">
        <f>(Sales_Data[[#This Row],[Profit]]/Sales_Data[[#This Row],[Revenue]])</f>
        <v>0.32047763548596331</v>
      </c>
    </row>
    <row r="540" spans="1:16" x14ac:dyDescent="0.35">
      <c r="A540" t="s">
        <v>806</v>
      </c>
      <c r="B540" s="5" t="s">
        <v>805</v>
      </c>
      <c r="C540" s="5" t="s">
        <v>151</v>
      </c>
      <c r="D540" s="5" t="str">
        <f>"Q"&amp;ROUNDUP(MONTH(B540)/3,0)</f>
        <v>Q2</v>
      </c>
      <c r="E540" t="s">
        <v>23</v>
      </c>
      <c r="F540" t="s">
        <v>52</v>
      </c>
      <c r="G540" t="s">
        <v>51</v>
      </c>
      <c r="H540" t="s">
        <v>9</v>
      </c>
      <c r="I540" t="s">
        <v>8</v>
      </c>
      <c r="J540" s="4">
        <v>3</v>
      </c>
      <c r="K540" s="3">
        <v>58314</v>
      </c>
      <c r="L540">
        <v>10</v>
      </c>
      <c r="M540" s="2">
        <v>157447.79999999999</v>
      </c>
      <c r="N540" s="2">
        <v>120959.33</v>
      </c>
      <c r="O540" s="2">
        <v>36488.47</v>
      </c>
      <c r="P540" s="1">
        <f>(Sales_Data[[#This Row],[Profit]]/Sales_Data[[#This Row],[Revenue]])</f>
        <v>0.23174963384690039</v>
      </c>
    </row>
    <row r="541" spans="1:16" x14ac:dyDescent="0.35">
      <c r="A541" t="s">
        <v>804</v>
      </c>
      <c r="B541" s="5" t="s">
        <v>178</v>
      </c>
      <c r="C541" s="5" t="s">
        <v>151</v>
      </c>
      <c r="D541" s="5" t="str">
        <f>"Q"&amp;ROUNDUP(MONTH(B541)/3,0)</f>
        <v>Q2</v>
      </c>
      <c r="E541" t="s">
        <v>36</v>
      </c>
      <c r="F541" t="s">
        <v>11</v>
      </c>
      <c r="G541" t="s">
        <v>2</v>
      </c>
      <c r="H541" t="s">
        <v>34</v>
      </c>
      <c r="I541" t="s">
        <v>8</v>
      </c>
      <c r="J541" s="4">
        <v>8</v>
      </c>
      <c r="K541" s="3">
        <v>22894.94</v>
      </c>
      <c r="L541">
        <v>10</v>
      </c>
      <c r="M541" s="2">
        <v>164843.57</v>
      </c>
      <c r="N541" s="2">
        <v>96496.05</v>
      </c>
      <c r="O541" s="2">
        <v>68347.520000000004</v>
      </c>
      <c r="P541" s="1">
        <f>(Sales_Data[[#This Row],[Profit]]/Sales_Data[[#This Row],[Revenue]])</f>
        <v>0.41462047928226742</v>
      </c>
    </row>
    <row r="542" spans="1:16" x14ac:dyDescent="0.35">
      <c r="A542" t="s">
        <v>803</v>
      </c>
      <c r="B542" s="5" t="s">
        <v>152</v>
      </c>
      <c r="C542" s="5" t="s">
        <v>151</v>
      </c>
      <c r="D542" s="5" t="str">
        <f>"Q"&amp;ROUNDUP(MONTH(B542)/3,0)</f>
        <v>Q2</v>
      </c>
      <c r="E542" t="s">
        <v>36</v>
      </c>
      <c r="F542" t="s">
        <v>52</v>
      </c>
      <c r="G542" t="s">
        <v>369</v>
      </c>
      <c r="H542" t="s">
        <v>34</v>
      </c>
      <c r="I542" t="s">
        <v>8</v>
      </c>
      <c r="J542" s="4">
        <v>7</v>
      </c>
      <c r="K542" s="3">
        <v>23378.69</v>
      </c>
      <c r="L542">
        <v>10</v>
      </c>
      <c r="M542" s="2">
        <v>147285.75</v>
      </c>
      <c r="N542" s="2">
        <v>98475.19</v>
      </c>
      <c r="O542" s="2">
        <v>48810.559999999998</v>
      </c>
      <c r="P542" s="1">
        <f>(Sales_Data[[#This Row],[Profit]]/Sales_Data[[#This Row],[Revenue]])</f>
        <v>0.33140042400571679</v>
      </c>
    </row>
    <row r="543" spans="1:16" x14ac:dyDescent="0.35">
      <c r="A543" t="s">
        <v>802</v>
      </c>
      <c r="B543" s="5" t="s">
        <v>512</v>
      </c>
      <c r="C543" s="5" t="s">
        <v>151</v>
      </c>
      <c r="D543" s="5" t="str">
        <f>"Q"&amp;ROUNDUP(MONTH(B543)/3,0)</f>
        <v>Q2</v>
      </c>
      <c r="E543" t="s">
        <v>36</v>
      </c>
      <c r="F543" t="s">
        <v>56</v>
      </c>
      <c r="G543" t="s">
        <v>31</v>
      </c>
      <c r="H543" t="s">
        <v>1</v>
      </c>
      <c r="I543" t="s">
        <v>0</v>
      </c>
      <c r="J543" s="4">
        <v>4</v>
      </c>
      <c r="K543" s="3">
        <v>522.33000000000004</v>
      </c>
      <c r="L543">
        <v>10</v>
      </c>
      <c r="M543" s="2">
        <v>1880.39</v>
      </c>
      <c r="N543" s="2">
        <v>1596.16</v>
      </c>
      <c r="O543" s="2">
        <v>284.23</v>
      </c>
      <c r="P543" s="1">
        <f>(Sales_Data[[#This Row],[Profit]]/Sales_Data[[#This Row],[Revenue]])</f>
        <v>0.15115481362908759</v>
      </c>
    </row>
    <row r="544" spans="1:16" x14ac:dyDescent="0.35">
      <c r="A544" t="s">
        <v>801</v>
      </c>
      <c r="B544" s="5" t="s">
        <v>505</v>
      </c>
      <c r="C544" s="5" t="s">
        <v>151</v>
      </c>
      <c r="D544" s="5" t="str">
        <f>"Q"&amp;ROUNDUP(MONTH(B544)/3,0)</f>
        <v>Q2</v>
      </c>
      <c r="E544" t="s">
        <v>23</v>
      </c>
      <c r="F544" t="s">
        <v>56</v>
      </c>
      <c r="G544" t="s">
        <v>169</v>
      </c>
      <c r="H544" t="s">
        <v>9</v>
      </c>
      <c r="I544" t="s">
        <v>8</v>
      </c>
      <c r="J544" s="4">
        <v>5</v>
      </c>
      <c r="K544" s="3">
        <v>62879.19</v>
      </c>
      <c r="L544">
        <v>10</v>
      </c>
      <c r="M544" s="2">
        <v>282956.36</v>
      </c>
      <c r="N544" s="2">
        <v>195790.88</v>
      </c>
      <c r="O544" s="2">
        <v>87165.48</v>
      </c>
      <c r="P544" s="1">
        <f>(Sales_Data[[#This Row],[Profit]]/Sales_Data[[#This Row],[Revenue]])</f>
        <v>0.30805273293733354</v>
      </c>
    </row>
    <row r="545" spans="1:16" x14ac:dyDescent="0.35">
      <c r="A545" t="s">
        <v>800</v>
      </c>
      <c r="B545" s="5" t="s">
        <v>162</v>
      </c>
      <c r="C545" s="5" t="s">
        <v>151</v>
      </c>
      <c r="D545" s="5" t="str">
        <f>"Q"&amp;ROUNDUP(MONTH(B545)/3,0)</f>
        <v>Q2</v>
      </c>
      <c r="E545" t="s">
        <v>4</v>
      </c>
      <c r="F545" t="s">
        <v>22</v>
      </c>
      <c r="G545" t="s">
        <v>75</v>
      </c>
      <c r="H545" t="s">
        <v>59</v>
      </c>
      <c r="I545" t="s">
        <v>0</v>
      </c>
      <c r="J545" s="4">
        <v>8</v>
      </c>
      <c r="K545" s="3">
        <v>1607.73</v>
      </c>
      <c r="L545">
        <v>10</v>
      </c>
      <c r="M545" s="2">
        <v>11575.66</v>
      </c>
      <c r="N545" s="2">
        <v>6448.72</v>
      </c>
      <c r="O545" s="2">
        <v>5126.9399999999996</v>
      </c>
      <c r="P545" s="1">
        <f>(Sales_Data[[#This Row],[Profit]]/Sales_Data[[#This Row],[Revenue]])</f>
        <v>0.4429069271212181</v>
      </c>
    </row>
    <row r="546" spans="1:16" x14ac:dyDescent="0.35">
      <c r="A546" t="s">
        <v>799</v>
      </c>
      <c r="B546" s="5" t="s">
        <v>160</v>
      </c>
      <c r="C546" s="5" t="s">
        <v>151</v>
      </c>
      <c r="D546" s="5" t="str">
        <f>"Q"&amp;ROUNDUP(MONTH(B546)/3,0)</f>
        <v>Q2</v>
      </c>
      <c r="E546" t="s">
        <v>23</v>
      </c>
      <c r="F546" t="s">
        <v>63</v>
      </c>
      <c r="G546" t="s">
        <v>15</v>
      </c>
      <c r="H546" t="s">
        <v>50</v>
      </c>
      <c r="I546" t="s">
        <v>49</v>
      </c>
      <c r="J546" s="4">
        <v>3</v>
      </c>
      <c r="K546" s="3">
        <v>4934.38</v>
      </c>
      <c r="L546">
        <v>10</v>
      </c>
      <c r="M546" s="2">
        <v>13322.83</v>
      </c>
      <c r="N546" s="2">
        <v>7487.64</v>
      </c>
      <c r="O546" s="2">
        <v>5835.19</v>
      </c>
      <c r="P546" s="1">
        <f>(Sales_Data[[#This Row],[Profit]]/Sales_Data[[#This Row],[Revenue]])</f>
        <v>0.4379842721103549</v>
      </c>
    </row>
    <row r="547" spans="1:16" x14ac:dyDescent="0.35">
      <c r="A547" t="s">
        <v>798</v>
      </c>
      <c r="B547" s="5" t="s">
        <v>490</v>
      </c>
      <c r="C547" s="5" t="s">
        <v>151</v>
      </c>
      <c r="D547" s="5" t="str">
        <f>"Q"&amp;ROUNDUP(MONTH(B547)/3,0)</f>
        <v>Q2</v>
      </c>
      <c r="E547" t="s">
        <v>4</v>
      </c>
      <c r="F547" t="s">
        <v>56</v>
      </c>
      <c r="G547" t="s">
        <v>35</v>
      </c>
      <c r="H547" t="s">
        <v>78</v>
      </c>
      <c r="I547" t="s">
        <v>19</v>
      </c>
      <c r="J547" s="4">
        <v>1</v>
      </c>
      <c r="K547" s="3">
        <v>113.33</v>
      </c>
      <c r="L547">
        <v>10</v>
      </c>
      <c r="M547" s="2">
        <v>102</v>
      </c>
      <c r="N547" s="2">
        <v>86.69</v>
      </c>
      <c r="O547" s="2">
        <v>15.31</v>
      </c>
      <c r="P547" s="1">
        <f>(Sales_Data[[#This Row],[Profit]]/Sales_Data[[#This Row],[Revenue]])</f>
        <v>0.15009803921568629</v>
      </c>
    </row>
    <row r="548" spans="1:16" x14ac:dyDescent="0.35">
      <c r="A548" t="s">
        <v>797</v>
      </c>
      <c r="B548" s="5" t="s">
        <v>796</v>
      </c>
      <c r="C548" s="5" t="s">
        <v>151</v>
      </c>
      <c r="D548" s="5" t="str">
        <f>"Q"&amp;ROUNDUP(MONTH(B548)/3,0)</f>
        <v>Q2</v>
      </c>
      <c r="E548" t="s">
        <v>23</v>
      </c>
      <c r="F548" t="s">
        <v>56</v>
      </c>
      <c r="G548" t="s">
        <v>29</v>
      </c>
      <c r="H548" t="s">
        <v>59</v>
      </c>
      <c r="I548" t="s">
        <v>0</v>
      </c>
      <c r="J548" s="4">
        <v>1</v>
      </c>
      <c r="K548" s="3">
        <v>1548.47</v>
      </c>
      <c r="L548">
        <v>10</v>
      </c>
      <c r="M548" s="2">
        <v>1393.62</v>
      </c>
      <c r="N548" s="2">
        <v>792.31</v>
      </c>
      <c r="O548" s="2">
        <v>601.30999999999995</v>
      </c>
      <c r="P548" s="1">
        <f>(Sales_Data[[#This Row],[Profit]]/Sales_Data[[#This Row],[Revenue]])</f>
        <v>0.431473428911755</v>
      </c>
    </row>
    <row r="549" spans="1:16" x14ac:dyDescent="0.35">
      <c r="A549" t="s">
        <v>795</v>
      </c>
      <c r="B549" s="5" t="s">
        <v>160</v>
      </c>
      <c r="C549" s="5" t="s">
        <v>151</v>
      </c>
      <c r="D549" s="5" t="str">
        <f>"Q"&amp;ROUNDUP(MONTH(B549)/3,0)</f>
        <v>Q2</v>
      </c>
      <c r="E549" t="s">
        <v>23</v>
      </c>
      <c r="F549" t="s">
        <v>52</v>
      </c>
      <c r="G549" t="s">
        <v>231</v>
      </c>
      <c r="H549" t="s">
        <v>59</v>
      </c>
      <c r="I549" t="s">
        <v>0</v>
      </c>
      <c r="J549" s="4">
        <v>3</v>
      </c>
      <c r="K549" s="3">
        <v>1378.48</v>
      </c>
      <c r="L549">
        <v>10</v>
      </c>
      <c r="M549" s="2">
        <v>3721.9</v>
      </c>
      <c r="N549" s="2">
        <v>2082.13</v>
      </c>
      <c r="O549" s="2">
        <v>1639.77</v>
      </c>
      <c r="P549" s="1">
        <f>(Sales_Data[[#This Row],[Profit]]/Sales_Data[[#This Row],[Revenue]])</f>
        <v>0.44057336306725059</v>
      </c>
    </row>
    <row r="550" spans="1:16" x14ac:dyDescent="0.35">
      <c r="A550" t="s">
        <v>794</v>
      </c>
      <c r="B550" s="5" t="s">
        <v>172</v>
      </c>
      <c r="C550" s="5" t="s">
        <v>151</v>
      </c>
      <c r="D550" s="5" t="str">
        <f>"Q"&amp;ROUNDUP(MONTH(B550)/3,0)</f>
        <v>Q2</v>
      </c>
      <c r="E550" t="s">
        <v>4</v>
      </c>
      <c r="F550" t="s">
        <v>11</v>
      </c>
      <c r="G550" t="s">
        <v>108</v>
      </c>
      <c r="H550" t="s">
        <v>111</v>
      </c>
      <c r="I550" t="s">
        <v>49</v>
      </c>
      <c r="J550" s="4">
        <v>8</v>
      </c>
      <c r="K550" s="3">
        <v>7239.9</v>
      </c>
      <c r="L550">
        <v>10</v>
      </c>
      <c r="M550" s="2">
        <v>52127.28</v>
      </c>
      <c r="N550" s="2">
        <v>35499.56</v>
      </c>
      <c r="O550" s="2">
        <v>16627.72</v>
      </c>
      <c r="P550" s="1">
        <f>(Sales_Data[[#This Row],[Profit]]/Sales_Data[[#This Row],[Revenue]])</f>
        <v>0.31898307373797369</v>
      </c>
    </row>
    <row r="551" spans="1:16" x14ac:dyDescent="0.35">
      <c r="A551" t="s">
        <v>793</v>
      </c>
      <c r="B551" s="5" t="s">
        <v>791</v>
      </c>
      <c r="C551" s="5" t="s">
        <v>125</v>
      </c>
      <c r="D551" s="5" t="str">
        <f>"Q"&amp;ROUNDUP(MONTH(B551)/3,0)</f>
        <v>Q4</v>
      </c>
      <c r="E551" t="s">
        <v>4</v>
      </c>
      <c r="F551" t="s">
        <v>3</v>
      </c>
      <c r="G551" t="s">
        <v>104</v>
      </c>
      <c r="H551" t="s">
        <v>20</v>
      </c>
      <c r="I551" t="s">
        <v>19</v>
      </c>
      <c r="J551" s="4">
        <v>6</v>
      </c>
      <c r="K551" s="3">
        <v>27.7</v>
      </c>
      <c r="L551">
        <v>10</v>
      </c>
      <c r="M551" s="2">
        <v>149.58000000000001</v>
      </c>
      <c r="N551" s="2">
        <v>122.79</v>
      </c>
      <c r="O551" s="2">
        <v>26.79</v>
      </c>
      <c r="P551" s="1">
        <f>(Sales_Data[[#This Row],[Profit]]/Sales_Data[[#This Row],[Revenue]])</f>
        <v>0.17910148415563576</v>
      </c>
    </row>
    <row r="552" spans="1:16" x14ac:dyDescent="0.35">
      <c r="A552" t="s">
        <v>792</v>
      </c>
      <c r="B552" s="5" t="s">
        <v>791</v>
      </c>
      <c r="C552" s="5" t="s">
        <v>125</v>
      </c>
      <c r="D552" s="5" t="str">
        <f>"Q"&amp;ROUNDUP(MONTH(B552)/3,0)</f>
        <v>Q4</v>
      </c>
      <c r="E552" t="s">
        <v>16</v>
      </c>
      <c r="F552" t="s">
        <v>52</v>
      </c>
      <c r="G552" t="s">
        <v>166</v>
      </c>
      <c r="H552" t="s">
        <v>78</v>
      </c>
      <c r="I552" t="s">
        <v>19</v>
      </c>
      <c r="J552" s="4">
        <v>6</v>
      </c>
      <c r="K552" s="3">
        <v>116.13</v>
      </c>
      <c r="L552">
        <v>10</v>
      </c>
      <c r="M552" s="2">
        <v>627.1</v>
      </c>
      <c r="N552" s="2">
        <v>349.33</v>
      </c>
      <c r="O552" s="2">
        <v>277.77</v>
      </c>
      <c r="P552" s="1">
        <f>(Sales_Data[[#This Row],[Profit]]/Sales_Data[[#This Row],[Revenue]])</f>
        <v>0.44294370913729864</v>
      </c>
    </row>
    <row r="553" spans="1:16" x14ac:dyDescent="0.35">
      <c r="A553" t="s">
        <v>790</v>
      </c>
      <c r="B553" s="5" t="s">
        <v>789</v>
      </c>
      <c r="C553" s="5" t="s">
        <v>125</v>
      </c>
      <c r="D553" s="5" t="str">
        <f>"Q"&amp;ROUNDUP(MONTH(B553)/3,0)</f>
        <v>Q4</v>
      </c>
      <c r="E553" t="s">
        <v>23</v>
      </c>
      <c r="F553" t="s">
        <v>63</v>
      </c>
      <c r="G553" t="s">
        <v>150</v>
      </c>
      <c r="H553" t="s">
        <v>45</v>
      </c>
      <c r="I553" t="s">
        <v>8</v>
      </c>
      <c r="J553" s="4">
        <v>1</v>
      </c>
      <c r="K553" s="3">
        <v>854.97</v>
      </c>
      <c r="L553">
        <v>10</v>
      </c>
      <c r="M553" s="2">
        <v>769.47</v>
      </c>
      <c r="N553" s="2">
        <v>636.32000000000005</v>
      </c>
      <c r="O553" s="2">
        <v>133.15</v>
      </c>
      <c r="P553" s="1">
        <f>(Sales_Data[[#This Row],[Profit]]/Sales_Data[[#This Row],[Revenue]])</f>
        <v>0.17304118419171638</v>
      </c>
    </row>
    <row r="554" spans="1:16" x14ac:dyDescent="0.35">
      <c r="A554" t="s">
        <v>788</v>
      </c>
      <c r="B554" s="5" t="s">
        <v>780</v>
      </c>
      <c r="C554" s="5" t="s">
        <v>125</v>
      </c>
      <c r="D554" s="5" t="str">
        <f>"Q"&amp;ROUNDUP(MONTH(B554)/3,0)</f>
        <v>Q4</v>
      </c>
      <c r="E554" t="s">
        <v>4</v>
      </c>
      <c r="F554" t="s">
        <v>22</v>
      </c>
      <c r="G554" t="s">
        <v>10</v>
      </c>
      <c r="H554" t="s">
        <v>45</v>
      </c>
      <c r="I554" t="s">
        <v>8</v>
      </c>
      <c r="J554" s="4">
        <v>4</v>
      </c>
      <c r="K554" s="3">
        <v>954.09</v>
      </c>
      <c r="L554">
        <v>10</v>
      </c>
      <c r="M554" s="2">
        <v>3434.72</v>
      </c>
      <c r="N554" s="2">
        <v>2072.04</v>
      </c>
      <c r="O554" s="2">
        <v>1362.68</v>
      </c>
      <c r="P554" s="1">
        <f>(Sales_Data[[#This Row],[Profit]]/Sales_Data[[#This Row],[Revenue]])</f>
        <v>0.39673685191223745</v>
      </c>
    </row>
    <row r="555" spans="1:16" x14ac:dyDescent="0.35">
      <c r="A555" t="s">
        <v>787</v>
      </c>
      <c r="B555" s="5" t="s">
        <v>467</v>
      </c>
      <c r="C555" s="5" t="s">
        <v>125</v>
      </c>
      <c r="D555" s="5" t="str">
        <f>"Q"&amp;ROUNDUP(MONTH(B555)/3,0)</f>
        <v>Q4</v>
      </c>
      <c r="E555" t="s">
        <v>4</v>
      </c>
      <c r="F555" t="s">
        <v>63</v>
      </c>
      <c r="G555" t="s">
        <v>118</v>
      </c>
      <c r="H555" t="s">
        <v>1</v>
      </c>
      <c r="I555" t="s">
        <v>0</v>
      </c>
      <c r="J555" s="4">
        <v>5</v>
      </c>
      <c r="K555" s="3">
        <v>462.29</v>
      </c>
      <c r="L555">
        <v>10</v>
      </c>
      <c r="M555" s="2">
        <v>2080.31</v>
      </c>
      <c r="N555" s="2">
        <v>1171.46</v>
      </c>
      <c r="O555" s="2">
        <v>908.85</v>
      </c>
      <c r="P555" s="1">
        <f>(Sales_Data[[#This Row],[Profit]]/Sales_Data[[#This Row],[Revenue]])</f>
        <v>0.43688200316299014</v>
      </c>
    </row>
    <row r="556" spans="1:16" x14ac:dyDescent="0.35">
      <c r="A556" t="s">
        <v>786</v>
      </c>
      <c r="B556" s="5" t="s">
        <v>780</v>
      </c>
      <c r="C556" s="5" t="s">
        <v>125</v>
      </c>
      <c r="D556" s="5" t="str">
        <f>"Q"&amp;ROUNDUP(MONTH(B556)/3,0)</f>
        <v>Q4</v>
      </c>
      <c r="E556" t="s">
        <v>23</v>
      </c>
      <c r="F556" t="s">
        <v>3</v>
      </c>
      <c r="G556" t="s">
        <v>264</v>
      </c>
      <c r="H556" t="s">
        <v>1</v>
      </c>
      <c r="I556" t="s">
        <v>0</v>
      </c>
      <c r="J556" s="4">
        <v>4</v>
      </c>
      <c r="K556" s="3">
        <v>542.44000000000005</v>
      </c>
      <c r="L556">
        <v>10</v>
      </c>
      <c r="M556" s="2">
        <v>1952.78</v>
      </c>
      <c r="N556" s="2">
        <v>1343.75</v>
      </c>
      <c r="O556" s="2">
        <v>609.03</v>
      </c>
      <c r="P556" s="1">
        <f>(Sales_Data[[#This Row],[Profit]]/Sales_Data[[#This Row],[Revenue]])</f>
        <v>0.31187845020944499</v>
      </c>
    </row>
    <row r="557" spans="1:16" x14ac:dyDescent="0.35">
      <c r="A557" t="s">
        <v>785</v>
      </c>
      <c r="B557" s="5" t="s">
        <v>482</v>
      </c>
      <c r="C557" s="5" t="s">
        <v>125</v>
      </c>
      <c r="D557" s="5" t="str">
        <f>"Q"&amp;ROUNDUP(MONTH(B557)/3,0)</f>
        <v>Q4</v>
      </c>
      <c r="E557" t="s">
        <v>4</v>
      </c>
      <c r="F557" t="s">
        <v>22</v>
      </c>
      <c r="G557" t="s">
        <v>15</v>
      </c>
      <c r="H557" t="s">
        <v>78</v>
      </c>
      <c r="I557" t="s">
        <v>19</v>
      </c>
      <c r="J557" s="4">
        <v>3</v>
      </c>
      <c r="K557" s="3">
        <v>123.35</v>
      </c>
      <c r="L557">
        <v>10</v>
      </c>
      <c r="M557" s="2">
        <v>333.04</v>
      </c>
      <c r="N557" s="2">
        <v>197.21</v>
      </c>
      <c r="O557" s="2">
        <v>135.83000000000001</v>
      </c>
      <c r="P557" s="1">
        <f>(Sales_Data[[#This Row],[Profit]]/Sales_Data[[#This Row],[Revenue]])</f>
        <v>0.4078489070381936</v>
      </c>
    </row>
    <row r="558" spans="1:16" x14ac:dyDescent="0.35">
      <c r="A558" t="s">
        <v>784</v>
      </c>
      <c r="B558" s="5" t="s">
        <v>129</v>
      </c>
      <c r="C558" s="5" t="s">
        <v>125</v>
      </c>
      <c r="D558" s="5" t="str">
        <f>"Q"&amp;ROUNDUP(MONTH(B558)/3,0)</f>
        <v>Q4</v>
      </c>
      <c r="E558" t="s">
        <v>4</v>
      </c>
      <c r="F558" t="s">
        <v>11</v>
      </c>
      <c r="G558" t="s">
        <v>137</v>
      </c>
      <c r="H558" t="s">
        <v>45</v>
      </c>
      <c r="I558" t="s">
        <v>8</v>
      </c>
      <c r="J558" s="4">
        <v>2</v>
      </c>
      <c r="K558" s="3">
        <v>879.79</v>
      </c>
      <c r="L558">
        <v>10</v>
      </c>
      <c r="M558" s="2">
        <v>1583.62</v>
      </c>
      <c r="N558" s="2">
        <v>1254.29</v>
      </c>
      <c r="O558" s="2">
        <v>329.33</v>
      </c>
      <c r="P558" s="1">
        <f>(Sales_Data[[#This Row],[Profit]]/Sales_Data[[#This Row],[Revenue]])</f>
        <v>0.20796024298758542</v>
      </c>
    </row>
    <row r="559" spans="1:16" x14ac:dyDescent="0.35">
      <c r="A559" t="s">
        <v>783</v>
      </c>
      <c r="B559" s="5" t="s">
        <v>475</v>
      </c>
      <c r="C559" s="5" t="s">
        <v>125</v>
      </c>
      <c r="D559" s="5" t="str">
        <f>"Q"&amp;ROUNDUP(MONTH(B559)/3,0)</f>
        <v>Q4</v>
      </c>
      <c r="E559" t="s">
        <v>36</v>
      </c>
      <c r="F559" t="s">
        <v>3</v>
      </c>
      <c r="G559" t="s">
        <v>137</v>
      </c>
      <c r="H559" t="s">
        <v>34</v>
      </c>
      <c r="I559" t="s">
        <v>8</v>
      </c>
      <c r="J559" s="4">
        <v>1</v>
      </c>
      <c r="K559" s="3">
        <v>25186.18</v>
      </c>
      <c r="L559">
        <v>10</v>
      </c>
      <c r="M559" s="2">
        <v>22667.56</v>
      </c>
      <c r="N559" s="2">
        <v>13981.28</v>
      </c>
      <c r="O559" s="2">
        <v>8686.2800000000007</v>
      </c>
      <c r="P559" s="1">
        <f>(Sales_Data[[#This Row],[Profit]]/Sales_Data[[#This Row],[Revenue]])</f>
        <v>0.38320313258242178</v>
      </c>
    </row>
    <row r="560" spans="1:16" x14ac:dyDescent="0.35">
      <c r="A560" t="s">
        <v>782</v>
      </c>
      <c r="B560" s="5" t="s">
        <v>780</v>
      </c>
      <c r="C560" s="5" t="s">
        <v>125</v>
      </c>
      <c r="D560" s="5" t="str">
        <f>"Q"&amp;ROUNDUP(MONTH(B560)/3,0)</f>
        <v>Q4</v>
      </c>
      <c r="E560" t="s">
        <v>36</v>
      </c>
      <c r="F560" t="s">
        <v>11</v>
      </c>
      <c r="G560" t="s">
        <v>55</v>
      </c>
      <c r="H560" t="s">
        <v>14</v>
      </c>
      <c r="I560" t="s">
        <v>8</v>
      </c>
      <c r="J560" s="4">
        <v>8</v>
      </c>
      <c r="K560" s="3">
        <v>2634.57</v>
      </c>
      <c r="L560">
        <v>10</v>
      </c>
      <c r="M560" s="2">
        <v>18968.900000000001</v>
      </c>
      <c r="N560" s="2">
        <v>12979.73</v>
      </c>
      <c r="O560" s="2">
        <v>5989.17</v>
      </c>
      <c r="P560" s="1">
        <f>(Sales_Data[[#This Row],[Profit]]/Sales_Data[[#This Row],[Revenue]])</f>
        <v>0.3157362841282309</v>
      </c>
    </row>
    <row r="561" spans="1:16" x14ac:dyDescent="0.35">
      <c r="A561" t="s">
        <v>781</v>
      </c>
      <c r="B561" s="5" t="s">
        <v>780</v>
      </c>
      <c r="C561" s="5" t="s">
        <v>125</v>
      </c>
      <c r="D561" s="5" t="str">
        <f>"Q"&amp;ROUNDUP(MONTH(B561)/3,0)</f>
        <v>Q4</v>
      </c>
      <c r="E561" t="s">
        <v>36</v>
      </c>
      <c r="F561" t="s">
        <v>63</v>
      </c>
      <c r="G561" t="s">
        <v>220</v>
      </c>
      <c r="H561" t="s">
        <v>20</v>
      </c>
      <c r="I561" t="s">
        <v>19</v>
      </c>
      <c r="J561" s="4">
        <v>6</v>
      </c>
      <c r="K561" s="3">
        <v>27.57</v>
      </c>
      <c r="L561">
        <v>10</v>
      </c>
      <c r="M561" s="2">
        <v>148.88</v>
      </c>
      <c r="N561" s="2">
        <v>97.77</v>
      </c>
      <c r="O561" s="2">
        <v>51.11</v>
      </c>
      <c r="P561" s="1">
        <f>(Sales_Data[[#This Row],[Profit]]/Sales_Data[[#This Row],[Revenue]])</f>
        <v>0.34329661472326706</v>
      </c>
    </row>
    <row r="562" spans="1:16" x14ac:dyDescent="0.35">
      <c r="A562" t="s">
        <v>779</v>
      </c>
      <c r="B562" s="5" t="s">
        <v>473</v>
      </c>
      <c r="C562" s="5" t="s">
        <v>125</v>
      </c>
      <c r="D562" s="5" t="str">
        <f>"Q"&amp;ROUNDUP(MONTH(B562)/3,0)</f>
        <v>Q4</v>
      </c>
      <c r="E562" t="s">
        <v>16</v>
      </c>
      <c r="F562" t="s">
        <v>56</v>
      </c>
      <c r="G562" t="s">
        <v>264</v>
      </c>
      <c r="H562" t="s">
        <v>45</v>
      </c>
      <c r="I562" t="s">
        <v>8</v>
      </c>
      <c r="J562" s="4">
        <v>6</v>
      </c>
      <c r="K562" s="3">
        <v>867.02</v>
      </c>
      <c r="L562">
        <v>10</v>
      </c>
      <c r="M562" s="2">
        <v>4681.91</v>
      </c>
      <c r="N562" s="2">
        <v>3597.46</v>
      </c>
      <c r="O562" s="2">
        <v>1084.45</v>
      </c>
      <c r="P562" s="1">
        <f>(Sales_Data[[#This Row],[Profit]]/Sales_Data[[#This Row],[Revenue]])</f>
        <v>0.23162555452795977</v>
      </c>
    </row>
    <row r="563" spans="1:16" x14ac:dyDescent="0.35">
      <c r="A563" t="s">
        <v>778</v>
      </c>
      <c r="B563" s="5" t="s">
        <v>135</v>
      </c>
      <c r="C563" s="5" t="s">
        <v>125</v>
      </c>
      <c r="D563" s="5" t="str">
        <f>"Q"&amp;ROUNDUP(MONTH(B563)/3,0)</f>
        <v>Q4</v>
      </c>
      <c r="E563" t="s">
        <v>16</v>
      </c>
      <c r="F563" t="s">
        <v>63</v>
      </c>
      <c r="G563" t="s">
        <v>85</v>
      </c>
      <c r="H563" t="s">
        <v>45</v>
      </c>
      <c r="I563" t="s">
        <v>8</v>
      </c>
      <c r="J563" s="4">
        <v>5</v>
      </c>
      <c r="K563" s="3">
        <v>826.12</v>
      </c>
      <c r="L563">
        <v>10</v>
      </c>
      <c r="M563" s="2">
        <v>3717.54</v>
      </c>
      <c r="N563" s="2">
        <v>2502.9299999999998</v>
      </c>
      <c r="O563" s="2">
        <v>1214.6099999999999</v>
      </c>
      <c r="P563" s="1">
        <f>(Sales_Data[[#This Row],[Profit]]/Sales_Data[[#This Row],[Revenue]])</f>
        <v>0.3267241240174954</v>
      </c>
    </row>
    <row r="564" spans="1:16" x14ac:dyDescent="0.35">
      <c r="A564" t="s">
        <v>777</v>
      </c>
      <c r="B564" s="5" t="s">
        <v>776</v>
      </c>
      <c r="C564" s="5" t="s">
        <v>125</v>
      </c>
      <c r="D564" s="5" t="str">
        <f>"Q"&amp;ROUNDUP(MONTH(B564)/3,0)</f>
        <v>Q4</v>
      </c>
      <c r="E564" t="s">
        <v>4</v>
      </c>
      <c r="F564" t="s">
        <v>11</v>
      </c>
      <c r="G564" t="s">
        <v>169</v>
      </c>
      <c r="H564" t="s">
        <v>59</v>
      </c>
      <c r="I564" t="s">
        <v>0</v>
      </c>
      <c r="J564" s="4">
        <v>6</v>
      </c>
      <c r="K564" s="3">
        <v>1428.06</v>
      </c>
      <c r="L564">
        <v>10</v>
      </c>
      <c r="M564" s="2">
        <v>7711.52</v>
      </c>
      <c r="N564" s="2">
        <v>6388.7</v>
      </c>
      <c r="O564" s="2">
        <v>1322.82</v>
      </c>
      <c r="P564" s="1">
        <f>(Sales_Data[[#This Row],[Profit]]/Sales_Data[[#This Row],[Revenue]])</f>
        <v>0.17153816627590926</v>
      </c>
    </row>
    <row r="565" spans="1:16" x14ac:dyDescent="0.35">
      <c r="A565" t="s">
        <v>775</v>
      </c>
      <c r="B565" s="5" t="s">
        <v>774</v>
      </c>
      <c r="C565" s="5" t="s">
        <v>125</v>
      </c>
      <c r="D565" s="5" t="str">
        <f>"Q"&amp;ROUNDUP(MONTH(B565)/3,0)</f>
        <v>Q4</v>
      </c>
      <c r="E565" t="s">
        <v>23</v>
      </c>
      <c r="F565" t="s">
        <v>11</v>
      </c>
      <c r="G565" t="s">
        <v>55</v>
      </c>
      <c r="H565" t="s">
        <v>59</v>
      </c>
      <c r="I565" t="s">
        <v>0</v>
      </c>
      <c r="J565" s="4">
        <v>8</v>
      </c>
      <c r="K565" s="3">
        <v>1381.84</v>
      </c>
      <c r="L565">
        <v>10</v>
      </c>
      <c r="M565" s="2">
        <v>9949.25</v>
      </c>
      <c r="N565" s="2">
        <v>5884.14</v>
      </c>
      <c r="O565" s="2">
        <v>4065.11</v>
      </c>
      <c r="P565" s="1">
        <f>(Sales_Data[[#This Row],[Profit]]/Sales_Data[[#This Row],[Revenue]])</f>
        <v>0.40858456667588011</v>
      </c>
    </row>
    <row r="566" spans="1:16" x14ac:dyDescent="0.35">
      <c r="A566" t="s">
        <v>773</v>
      </c>
      <c r="B566" s="5" t="s">
        <v>467</v>
      </c>
      <c r="C566" s="5" t="s">
        <v>125</v>
      </c>
      <c r="D566" s="5" t="str">
        <f>"Q"&amp;ROUNDUP(MONTH(B566)/3,0)</f>
        <v>Q4</v>
      </c>
      <c r="E566" t="s">
        <v>16</v>
      </c>
      <c r="F566" t="s">
        <v>63</v>
      </c>
      <c r="G566" t="s">
        <v>79</v>
      </c>
      <c r="H566" t="s">
        <v>50</v>
      </c>
      <c r="I566" t="s">
        <v>49</v>
      </c>
      <c r="J566" s="4">
        <v>4</v>
      </c>
      <c r="K566" s="3">
        <v>4341.1499999999996</v>
      </c>
      <c r="L566">
        <v>10</v>
      </c>
      <c r="M566" s="2">
        <v>15628.14</v>
      </c>
      <c r="N566" s="2">
        <v>11907.68</v>
      </c>
      <c r="O566" s="2">
        <v>3720.46</v>
      </c>
      <c r="P566" s="1">
        <f>(Sales_Data[[#This Row],[Profit]]/Sales_Data[[#This Row],[Revenue]])</f>
        <v>0.23806159914103664</v>
      </c>
    </row>
    <row r="567" spans="1:16" x14ac:dyDescent="0.35">
      <c r="A567" t="s">
        <v>772</v>
      </c>
      <c r="B567" s="5" t="s">
        <v>771</v>
      </c>
      <c r="C567" s="5" t="s">
        <v>125</v>
      </c>
      <c r="D567" s="5" t="str">
        <f>"Q"&amp;ROUNDUP(MONTH(B567)/3,0)</f>
        <v>Q4</v>
      </c>
      <c r="E567" t="s">
        <v>16</v>
      </c>
      <c r="F567" t="s">
        <v>56</v>
      </c>
      <c r="G567" t="s">
        <v>159</v>
      </c>
      <c r="H567" t="s">
        <v>45</v>
      </c>
      <c r="I567" t="s">
        <v>8</v>
      </c>
      <c r="J567" s="4">
        <v>6</v>
      </c>
      <c r="K567" s="3">
        <v>946.87</v>
      </c>
      <c r="L567">
        <v>10</v>
      </c>
      <c r="M567" s="2">
        <v>5113.1000000000004</v>
      </c>
      <c r="N567" s="2">
        <v>4166.6499999999996</v>
      </c>
      <c r="O567" s="2">
        <v>946.45</v>
      </c>
      <c r="P567" s="1">
        <f>(Sales_Data[[#This Row],[Profit]]/Sales_Data[[#This Row],[Revenue]])</f>
        <v>0.18510297080049284</v>
      </c>
    </row>
    <row r="568" spans="1:16" x14ac:dyDescent="0.35">
      <c r="A568" t="s">
        <v>770</v>
      </c>
      <c r="B568" s="5" t="s">
        <v>143</v>
      </c>
      <c r="C568" s="5" t="s">
        <v>125</v>
      </c>
      <c r="D568" s="5" t="str">
        <f>"Q"&amp;ROUNDUP(MONTH(B568)/3,0)</f>
        <v>Q4</v>
      </c>
      <c r="E568" t="s">
        <v>4</v>
      </c>
      <c r="F568" t="s">
        <v>22</v>
      </c>
      <c r="G568" t="s">
        <v>116</v>
      </c>
      <c r="H568" t="s">
        <v>45</v>
      </c>
      <c r="I568" t="s">
        <v>8</v>
      </c>
      <c r="J568" s="4">
        <v>8</v>
      </c>
      <c r="K568" s="3">
        <v>876.12</v>
      </c>
      <c r="L568">
        <v>10</v>
      </c>
      <c r="M568" s="2">
        <v>6308.06</v>
      </c>
      <c r="N568" s="2">
        <v>4522.32</v>
      </c>
      <c r="O568" s="2">
        <v>1785.74</v>
      </c>
      <c r="P568" s="1">
        <f>(Sales_Data[[#This Row],[Profit]]/Sales_Data[[#This Row],[Revenue]])</f>
        <v>0.28308861995605622</v>
      </c>
    </row>
    <row r="569" spans="1:16" x14ac:dyDescent="0.35">
      <c r="A569" t="s">
        <v>769</v>
      </c>
      <c r="B569" s="5" t="s">
        <v>768</v>
      </c>
      <c r="C569" s="5" t="s">
        <v>125</v>
      </c>
      <c r="D569" s="5" t="str">
        <f>"Q"&amp;ROUNDUP(MONTH(B569)/3,0)</f>
        <v>Q4</v>
      </c>
      <c r="E569" t="s">
        <v>36</v>
      </c>
      <c r="F569" t="s">
        <v>22</v>
      </c>
      <c r="G569" t="s">
        <v>118</v>
      </c>
      <c r="H569" t="s">
        <v>45</v>
      </c>
      <c r="I569" t="s">
        <v>8</v>
      </c>
      <c r="J569" s="4">
        <v>5</v>
      </c>
      <c r="K569" s="3">
        <v>853.27</v>
      </c>
      <c r="L569">
        <v>10</v>
      </c>
      <c r="M569" s="2">
        <v>3839.72</v>
      </c>
      <c r="N569" s="2">
        <v>2338.71</v>
      </c>
      <c r="O569" s="2">
        <v>1501.01</v>
      </c>
      <c r="P569" s="1">
        <f>(Sales_Data[[#This Row],[Profit]]/Sales_Data[[#This Row],[Revenue]])</f>
        <v>0.39091652516329317</v>
      </c>
    </row>
    <row r="570" spans="1:16" x14ac:dyDescent="0.35">
      <c r="A570" t="s">
        <v>767</v>
      </c>
      <c r="B570" s="5" t="s">
        <v>145</v>
      </c>
      <c r="C570" s="5" t="s">
        <v>125</v>
      </c>
      <c r="D570" s="5" t="str">
        <f>"Q"&amp;ROUNDUP(MONTH(B570)/3,0)</f>
        <v>Q4</v>
      </c>
      <c r="E570" t="s">
        <v>23</v>
      </c>
      <c r="F570" t="s">
        <v>22</v>
      </c>
      <c r="G570" t="s">
        <v>104</v>
      </c>
      <c r="H570" t="s">
        <v>9</v>
      </c>
      <c r="I570" t="s">
        <v>8</v>
      </c>
      <c r="J570" s="4">
        <v>6</v>
      </c>
      <c r="K570" s="3">
        <v>55342.28</v>
      </c>
      <c r="L570">
        <v>10</v>
      </c>
      <c r="M570" s="2">
        <v>298848.31</v>
      </c>
      <c r="N570" s="2">
        <v>166068.35999999999</v>
      </c>
      <c r="O570" s="2">
        <v>132779.95000000001</v>
      </c>
      <c r="P570" s="1">
        <f>(Sales_Data[[#This Row],[Profit]]/Sales_Data[[#This Row],[Revenue]])</f>
        <v>0.44430550736592761</v>
      </c>
    </row>
    <row r="571" spans="1:16" x14ac:dyDescent="0.35">
      <c r="A571" t="s">
        <v>766</v>
      </c>
      <c r="B571" s="5" t="s">
        <v>477</v>
      </c>
      <c r="C571" s="5" t="s">
        <v>125</v>
      </c>
      <c r="D571" s="5" t="str">
        <f>"Q"&amp;ROUNDUP(MONTH(B571)/3,0)</f>
        <v>Q4</v>
      </c>
      <c r="E571" t="s">
        <v>4</v>
      </c>
      <c r="F571" t="s">
        <v>22</v>
      </c>
      <c r="G571" t="s">
        <v>51</v>
      </c>
      <c r="H571" t="s">
        <v>1</v>
      </c>
      <c r="I571" t="s">
        <v>0</v>
      </c>
      <c r="J571" s="4">
        <v>3</v>
      </c>
      <c r="K571" s="3">
        <v>534.16999999999996</v>
      </c>
      <c r="L571">
        <v>10</v>
      </c>
      <c r="M571" s="2">
        <v>1442.26</v>
      </c>
      <c r="N571" s="2">
        <v>861.35</v>
      </c>
      <c r="O571" s="2">
        <v>580.91</v>
      </c>
      <c r="P571" s="1">
        <f>(Sales_Data[[#This Row],[Profit]]/Sales_Data[[#This Row],[Revenue]])</f>
        <v>0.40277758517881657</v>
      </c>
    </row>
    <row r="572" spans="1:16" x14ac:dyDescent="0.35">
      <c r="A572" t="s">
        <v>765</v>
      </c>
      <c r="B572" s="5" t="s">
        <v>143</v>
      </c>
      <c r="C572" s="5" t="s">
        <v>125</v>
      </c>
      <c r="D572" s="5" t="str">
        <f>"Q"&amp;ROUNDUP(MONTH(B572)/3,0)</f>
        <v>Q4</v>
      </c>
      <c r="E572" t="s">
        <v>4</v>
      </c>
      <c r="F572" t="s">
        <v>11</v>
      </c>
      <c r="G572" t="s">
        <v>309</v>
      </c>
      <c r="H572" t="s">
        <v>50</v>
      </c>
      <c r="I572" t="s">
        <v>49</v>
      </c>
      <c r="J572" s="4">
        <v>7</v>
      </c>
      <c r="K572" s="3">
        <v>4493.7299999999996</v>
      </c>
      <c r="L572">
        <v>10</v>
      </c>
      <c r="M572" s="2">
        <v>28310.5</v>
      </c>
      <c r="N572" s="2">
        <v>18266.97</v>
      </c>
      <c r="O572" s="2">
        <v>10043.530000000001</v>
      </c>
      <c r="P572" s="1">
        <f>(Sales_Data[[#This Row],[Profit]]/Sales_Data[[#This Row],[Revenue]])</f>
        <v>0.3547634269970506</v>
      </c>
    </row>
    <row r="573" spans="1:16" x14ac:dyDescent="0.35">
      <c r="A573" t="s">
        <v>764</v>
      </c>
      <c r="B573" s="5" t="s">
        <v>485</v>
      </c>
      <c r="C573" s="5" t="s">
        <v>125</v>
      </c>
      <c r="D573" s="5" t="str">
        <f>"Q"&amp;ROUNDUP(MONTH(B573)/3,0)</f>
        <v>Q4</v>
      </c>
      <c r="E573" t="s">
        <v>4</v>
      </c>
      <c r="F573" t="s">
        <v>11</v>
      </c>
      <c r="G573" t="s">
        <v>159</v>
      </c>
      <c r="H573" t="s">
        <v>14</v>
      </c>
      <c r="I573" t="s">
        <v>8</v>
      </c>
      <c r="J573" s="4">
        <v>6</v>
      </c>
      <c r="K573" s="3">
        <v>2381.98</v>
      </c>
      <c r="L573">
        <v>10</v>
      </c>
      <c r="M573" s="2">
        <v>12862.69</v>
      </c>
      <c r="N573" s="2">
        <v>9428.52</v>
      </c>
      <c r="O573" s="2">
        <v>3434.17</v>
      </c>
      <c r="P573" s="1">
        <f>(Sales_Data[[#This Row],[Profit]]/Sales_Data[[#This Row],[Revenue]])</f>
        <v>0.26698692108726868</v>
      </c>
    </row>
    <row r="574" spans="1:16" x14ac:dyDescent="0.35">
      <c r="A574" t="s">
        <v>763</v>
      </c>
      <c r="B574" s="5" t="s">
        <v>762</v>
      </c>
      <c r="C574" s="5" t="s">
        <v>125</v>
      </c>
      <c r="D574" s="5" t="str">
        <f>"Q"&amp;ROUNDUP(MONTH(B574)/3,0)</f>
        <v>Q4</v>
      </c>
      <c r="E574" t="s">
        <v>16</v>
      </c>
      <c r="F574" t="s">
        <v>52</v>
      </c>
      <c r="G574" t="s">
        <v>169</v>
      </c>
      <c r="H574" t="s">
        <v>59</v>
      </c>
      <c r="I574" t="s">
        <v>0</v>
      </c>
      <c r="J574" s="4">
        <v>3</v>
      </c>
      <c r="K574" s="3">
        <v>1590.75</v>
      </c>
      <c r="L574">
        <v>10</v>
      </c>
      <c r="M574" s="2">
        <v>4295.03</v>
      </c>
      <c r="N574" s="2">
        <v>2690.09</v>
      </c>
      <c r="O574" s="2">
        <v>1604.94</v>
      </c>
      <c r="P574" s="1">
        <f>(Sales_Data[[#This Row],[Profit]]/Sales_Data[[#This Row],[Revenue]])</f>
        <v>0.37367375780844375</v>
      </c>
    </row>
    <row r="575" spans="1:16" x14ac:dyDescent="0.35">
      <c r="A575" t="s">
        <v>761</v>
      </c>
      <c r="B575" s="5" t="s">
        <v>745</v>
      </c>
      <c r="C575" s="5" t="s">
        <v>72</v>
      </c>
      <c r="D575" s="5" t="str">
        <f>"Q"&amp;ROUNDUP(MONTH(B575)/3,0)</f>
        <v>Q4</v>
      </c>
      <c r="E575" t="s">
        <v>4</v>
      </c>
      <c r="F575" t="s">
        <v>63</v>
      </c>
      <c r="G575" t="s">
        <v>68</v>
      </c>
      <c r="H575" t="s">
        <v>20</v>
      </c>
      <c r="I575" t="s">
        <v>19</v>
      </c>
      <c r="J575" s="4">
        <v>3</v>
      </c>
      <c r="K575" s="3">
        <v>32.4</v>
      </c>
      <c r="L575">
        <v>10</v>
      </c>
      <c r="M575" s="2">
        <v>87.48</v>
      </c>
      <c r="N575" s="2">
        <v>48.51</v>
      </c>
      <c r="O575" s="2">
        <v>38.97</v>
      </c>
      <c r="P575" s="1">
        <f>(Sales_Data[[#This Row],[Profit]]/Sales_Data[[#This Row],[Revenue]])</f>
        <v>0.44547325102880653</v>
      </c>
    </row>
    <row r="576" spans="1:16" x14ac:dyDescent="0.35">
      <c r="A576" t="s">
        <v>760</v>
      </c>
      <c r="B576" s="5" t="s">
        <v>80</v>
      </c>
      <c r="C576" s="5" t="s">
        <v>72</v>
      </c>
      <c r="D576" s="5" t="str">
        <f>"Q"&amp;ROUNDUP(MONTH(B576)/3,0)</f>
        <v>Q4</v>
      </c>
      <c r="E576" t="s">
        <v>36</v>
      </c>
      <c r="F576" t="s">
        <v>52</v>
      </c>
      <c r="G576" t="s">
        <v>137</v>
      </c>
      <c r="H576" t="s">
        <v>45</v>
      </c>
      <c r="I576" t="s">
        <v>8</v>
      </c>
      <c r="J576" s="4">
        <v>6</v>
      </c>
      <c r="K576" s="3">
        <v>874.99</v>
      </c>
      <c r="L576">
        <v>10</v>
      </c>
      <c r="M576" s="2">
        <v>4724.95</v>
      </c>
      <c r="N576" s="2">
        <v>2843.17</v>
      </c>
      <c r="O576" s="2">
        <v>1881.78</v>
      </c>
      <c r="P576" s="1">
        <f>(Sales_Data[[#This Row],[Profit]]/Sales_Data[[#This Row],[Revenue]])</f>
        <v>0.39826453189980848</v>
      </c>
    </row>
    <row r="577" spans="1:16" x14ac:dyDescent="0.35">
      <c r="A577" t="s">
        <v>759</v>
      </c>
      <c r="B577" s="5" t="s">
        <v>743</v>
      </c>
      <c r="C577" s="5" t="s">
        <v>72</v>
      </c>
      <c r="D577" s="5" t="str">
        <f>"Q"&amp;ROUNDUP(MONTH(B577)/3,0)</f>
        <v>Q4</v>
      </c>
      <c r="E577" t="s">
        <v>4</v>
      </c>
      <c r="F577" t="s">
        <v>3</v>
      </c>
      <c r="G577" t="s">
        <v>137</v>
      </c>
      <c r="H577" t="s">
        <v>45</v>
      </c>
      <c r="I577" t="s">
        <v>8</v>
      </c>
      <c r="J577" s="4">
        <v>3</v>
      </c>
      <c r="K577" s="3">
        <v>829.72</v>
      </c>
      <c r="L577">
        <v>10</v>
      </c>
      <c r="M577" s="2">
        <v>2240.2399999999998</v>
      </c>
      <c r="N577" s="2">
        <v>1858.19</v>
      </c>
      <c r="O577" s="2">
        <v>382.05</v>
      </c>
      <c r="P577" s="1">
        <f>(Sales_Data[[#This Row],[Profit]]/Sales_Data[[#This Row],[Revenue]])</f>
        <v>0.17053976359675752</v>
      </c>
    </row>
    <row r="578" spans="1:16" x14ac:dyDescent="0.35">
      <c r="A578" t="s">
        <v>758</v>
      </c>
      <c r="B578" s="5" t="s">
        <v>757</v>
      </c>
      <c r="C578" s="5" t="s">
        <v>72</v>
      </c>
      <c r="D578" s="5" t="str">
        <f>"Q"&amp;ROUNDUP(MONTH(B578)/3,0)</f>
        <v>Q4</v>
      </c>
      <c r="E578" t="s">
        <v>23</v>
      </c>
      <c r="F578" t="s">
        <v>11</v>
      </c>
      <c r="G578" t="s">
        <v>108</v>
      </c>
      <c r="H578" t="s">
        <v>34</v>
      </c>
      <c r="I578" t="s">
        <v>8</v>
      </c>
      <c r="J578" s="4">
        <v>3</v>
      </c>
      <c r="K578" s="3">
        <v>23081.93</v>
      </c>
      <c r="L578">
        <v>10</v>
      </c>
      <c r="M578" s="2">
        <v>62321.21</v>
      </c>
      <c r="N578" s="2">
        <v>36223.33</v>
      </c>
      <c r="O578" s="2">
        <v>26097.88</v>
      </c>
      <c r="P578" s="1">
        <f>(Sales_Data[[#This Row],[Profit]]/Sales_Data[[#This Row],[Revenue]])</f>
        <v>0.41876401308639549</v>
      </c>
    </row>
    <row r="579" spans="1:16" x14ac:dyDescent="0.35">
      <c r="A579" t="s">
        <v>756</v>
      </c>
      <c r="B579" s="5" t="s">
        <v>76</v>
      </c>
      <c r="C579" s="5" t="s">
        <v>72</v>
      </c>
      <c r="D579" s="5" t="str">
        <f>"Q"&amp;ROUNDUP(MONTH(B579)/3,0)</f>
        <v>Q4</v>
      </c>
      <c r="E579" t="s">
        <v>36</v>
      </c>
      <c r="F579" t="s">
        <v>63</v>
      </c>
      <c r="G579" t="s">
        <v>55</v>
      </c>
      <c r="H579" t="s">
        <v>50</v>
      </c>
      <c r="I579" t="s">
        <v>49</v>
      </c>
      <c r="J579" s="4">
        <v>1</v>
      </c>
      <c r="K579" s="3">
        <v>4795.26</v>
      </c>
      <c r="L579">
        <v>10</v>
      </c>
      <c r="M579" s="2">
        <v>4315.7299999999996</v>
      </c>
      <c r="N579" s="2">
        <v>3609.22</v>
      </c>
      <c r="O579" s="2">
        <v>706.51</v>
      </c>
      <c r="P579" s="1">
        <f>(Sales_Data[[#This Row],[Profit]]/Sales_Data[[#This Row],[Revenue]])</f>
        <v>0.16370579253104342</v>
      </c>
    </row>
    <row r="580" spans="1:16" x14ac:dyDescent="0.35">
      <c r="A580" t="s">
        <v>755</v>
      </c>
      <c r="B580" s="5" t="s">
        <v>119</v>
      </c>
      <c r="C580" s="5" t="s">
        <v>72</v>
      </c>
      <c r="D580" s="5" t="str">
        <f>"Q"&amp;ROUNDUP(MONTH(B580)/3,0)</f>
        <v>Q4</v>
      </c>
      <c r="E580" t="s">
        <v>36</v>
      </c>
      <c r="F580" t="s">
        <v>52</v>
      </c>
      <c r="G580" t="s">
        <v>220</v>
      </c>
      <c r="H580" t="s">
        <v>34</v>
      </c>
      <c r="I580" t="s">
        <v>8</v>
      </c>
      <c r="J580" s="4">
        <v>4</v>
      </c>
      <c r="K580" s="3">
        <v>23071.67</v>
      </c>
      <c r="L580">
        <v>10</v>
      </c>
      <c r="M580" s="2">
        <v>83058.009999999995</v>
      </c>
      <c r="N580" s="2">
        <v>52454.84</v>
      </c>
      <c r="O580" s="2">
        <v>30603.17</v>
      </c>
      <c r="P580" s="1">
        <f>(Sales_Data[[#This Row],[Profit]]/Sales_Data[[#This Row],[Revenue]])</f>
        <v>0.36845537233555198</v>
      </c>
    </row>
    <row r="581" spans="1:16" x14ac:dyDescent="0.35">
      <c r="A581" t="s">
        <v>754</v>
      </c>
      <c r="B581" s="5" t="s">
        <v>93</v>
      </c>
      <c r="C581" s="5" t="s">
        <v>72</v>
      </c>
      <c r="D581" s="5" t="str">
        <f>"Q"&amp;ROUNDUP(MONTH(B581)/3,0)</f>
        <v>Q4</v>
      </c>
      <c r="E581" t="s">
        <v>36</v>
      </c>
      <c r="F581" t="s">
        <v>22</v>
      </c>
      <c r="G581" t="s">
        <v>166</v>
      </c>
      <c r="H581" t="s">
        <v>59</v>
      </c>
      <c r="I581" t="s">
        <v>0</v>
      </c>
      <c r="J581" s="4">
        <v>3</v>
      </c>
      <c r="K581" s="3">
        <v>1351.46</v>
      </c>
      <c r="L581">
        <v>10</v>
      </c>
      <c r="M581" s="2">
        <v>3648.94</v>
      </c>
      <c r="N581" s="2">
        <v>2069.25</v>
      </c>
      <c r="O581" s="2">
        <v>1579.69</v>
      </c>
      <c r="P581" s="1">
        <f>(Sales_Data[[#This Row],[Profit]]/Sales_Data[[#This Row],[Revenue]])</f>
        <v>0.43291750480961594</v>
      </c>
    </row>
    <row r="582" spans="1:16" x14ac:dyDescent="0.35">
      <c r="A582" t="s">
        <v>753</v>
      </c>
      <c r="B582" s="5" t="s">
        <v>465</v>
      </c>
      <c r="C582" s="5" t="s">
        <v>72</v>
      </c>
      <c r="D582" s="5" t="str">
        <f>"Q"&amp;ROUNDUP(MONTH(B582)/3,0)</f>
        <v>Q4</v>
      </c>
      <c r="E582" t="s">
        <v>36</v>
      </c>
      <c r="F582" t="s">
        <v>52</v>
      </c>
      <c r="G582" t="s">
        <v>108</v>
      </c>
      <c r="H582" t="s">
        <v>45</v>
      </c>
      <c r="I582" t="s">
        <v>8</v>
      </c>
      <c r="J582" s="4">
        <v>3</v>
      </c>
      <c r="K582" s="3">
        <v>921.02</v>
      </c>
      <c r="L582">
        <v>10</v>
      </c>
      <c r="M582" s="2">
        <v>2486.75</v>
      </c>
      <c r="N582" s="2">
        <v>1441.16</v>
      </c>
      <c r="O582" s="2">
        <v>1045.5899999999999</v>
      </c>
      <c r="P582" s="1">
        <f>(Sales_Data[[#This Row],[Profit]]/Sales_Data[[#This Row],[Revenue]])</f>
        <v>0.42046446164672763</v>
      </c>
    </row>
    <row r="583" spans="1:16" x14ac:dyDescent="0.35">
      <c r="A583" t="s">
        <v>752</v>
      </c>
      <c r="B583" s="5" t="s">
        <v>463</v>
      </c>
      <c r="C583" s="5" t="s">
        <v>72</v>
      </c>
      <c r="D583" s="5" t="str">
        <f>"Q"&amp;ROUNDUP(MONTH(B583)/3,0)</f>
        <v>Q4</v>
      </c>
      <c r="E583" t="s">
        <v>16</v>
      </c>
      <c r="F583" t="s">
        <v>3</v>
      </c>
      <c r="G583" t="s">
        <v>137</v>
      </c>
      <c r="H583" t="s">
        <v>20</v>
      </c>
      <c r="I583" t="s">
        <v>19</v>
      </c>
      <c r="J583" s="4">
        <v>7</v>
      </c>
      <c r="K583" s="3">
        <v>28.8</v>
      </c>
      <c r="L583">
        <v>10</v>
      </c>
      <c r="M583" s="2">
        <v>181.44</v>
      </c>
      <c r="N583" s="2">
        <v>139.75</v>
      </c>
      <c r="O583" s="2">
        <v>41.69</v>
      </c>
      <c r="P583" s="1">
        <f>(Sales_Data[[#This Row],[Profit]]/Sales_Data[[#This Row],[Revenue]])</f>
        <v>0.22977292768959434</v>
      </c>
    </row>
    <row r="584" spans="1:16" x14ac:dyDescent="0.35">
      <c r="A584" t="s">
        <v>751</v>
      </c>
      <c r="B584" s="5" t="s">
        <v>96</v>
      </c>
      <c r="C584" s="5" t="s">
        <v>72</v>
      </c>
      <c r="D584" s="5" t="str">
        <f>"Q"&amp;ROUNDUP(MONTH(B584)/3,0)</f>
        <v>Q4</v>
      </c>
      <c r="E584" t="s">
        <v>16</v>
      </c>
      <c r="F584" t="s">
        <v>52</v>
      </c>
      <c r="G584" t="s">
        <v>231</v>
      </c>
      <c r="H584" t="s">
        <v>9</v>
      </c>
      <c r="I584" t="s">
        <v>8</v>
      </c>
      <c r="J584" s="4">
        <v>3</v>
      </c>
      <c r="K584" s="3">
        <v>59261.49</v>
      </c>
      <c r="L584">
        <v>10</v>
      </c>
      <c r="M584" s="2">
        <v>160006.01999999999</v>
      </c>
      <c r="N584" s="2">
        <v>126444.6</v>
      </c>
      <c r="O584" s="2">
        <v>33561.42</v>
      </c>
      <c r="P584" s="1">
        <f>(Sales_Data[[#This Row],[Profit]]/Sales_Data[[#This Row],[Revenue]])</f>
        <v>0.20975098311926013</v>
      </c>
    </row>
    <row r="585" spans="1:16" x14ac:dyDescent="0.35">
      <c r="A585" t="s">
        <v>750</v>
      </c>
      <c r="B585" s="5" t="s">
        <v>452</v>
      </c>
      <c r="C585" s="5" t="s">
        <v>72</v>
      </c>
      <c r="D585" s="5" t="str">
        <f>"Q"&amp;ROUNDUP(MONTH(B585)/3,0)</f>
        <v>Q4</v>
      </c>
      <c r="E585" t="s">
        <v>36</v>
      </c>
      <c r="F585" t="s">
        <v>63</v>
      </c>
      <c r="G585" t="s">
        <v>79</v>
      </c>
      <c r="H585" t="s">
        <v>78</v>
      </c>
      <c r="I585" t="s">
        <v>19</v>
      </c>
      <c r="J585" s="4">
        <v>3</v>
      </c>
      <c r="K585" s="3">
        <v>128.13999999999999</v>
      </c>
      <c r="L585">
        <v>10</v>
      </c>
      <c r="M585" s="2">
        <v>345.98</v>
      </c>
      <c r="N585" s="2">
        <v>195.9</v>
      </c>
      <c r="O585" s="2">
        <v>150.08000000000001</v>
      </c>
      <c r="P585" s="1">
        <f>(Sales_Data[[#This Row],[Profit]]/Sales_Data[[#This Row],[Revenue]])</f>
        <v>0.43378229955488756</v>
      </c>
    </row>
    <row r="586" spans="1:16" x14ac:dyDescent="0.35">
      <c r="A586" t="s">
        <v>749</v>
      </c>
      <c r="B586" s="5" t="s">
        <v>90</v>
      </c>
      <c r="C586" s="5" t="s">
        <v>72</v>
      </c>
      <c r="D586" s="5" t="str">
        <f>"Q"&amp;ROUNDUP(MONTH(B586)/3,0)</f>
        <v>Q4</v>
      </c>
      <c r="E586" t="s">
        <v>4</v>
      </c>
      <c r="F586" t="s">
        <v>22</v>
      </c>
      <c r="G586" t="s">
        <v>21</v>
      </c>
      <c r="H586" t="s">
        <v>78</v>
      </c>
      <c r="I586" t="s">
        <v>19</v>
      </c>
      <c r="J586" s="4">
        <v>1</v>
      </c>
      <c r="K586" s="3">
        <v>128.66999999999999</v>
      </c>
      <c r="L586">
        <v>10</v>
      </c>
      <c r="M586" s="2">
        <v>115.8</v>
      </c>
      <c r="N586" s="2">
        <v>77.84</v>
      </c>
      <c r="O586" s="2">
        <v>37.96</v>
      </c>
      <c r="P586" s="1">
        <f>(Sales_Data[[#This Row],[Profit]]/Sales_Data[[#This Row],[Revenue]])</f>
        <v>0.32780656303972366</v>
      </c>
    </row>
    <row r="587" spans="1:16" x14ac:dyDescent="0.35">
      <c r="A587" t="s">
        <v>748</v>
      </c>
      <c r="B587" s="5" t="s">
        <v>122</v>
      </c>
      <c r="C587" s="5" t="s">
        <v>72</v>
      </c>
      <c r="D587" s="5" t="str">
        <f>"Q"&amp;ROUNDUP(MONTH(B587)/3,0)</f>
        <v>Q4</v>
      </c>
      <c r="E587" t="s">
        <v>23</v>
      </c>
      <c r="F587" t="s">
        <v>11</v>
      </c>
      <c r="G587" t="s">
        <v>159</v>
      </c>
      <c r="H587" t="s">
        <v>111</v>
      </c>
      <c r="I587" t="s">
        <v>49</v>
      </c>
      <c r="J587" s="4">
        <v>2</v>
      </c>
      <c r="K587" s="3">
        <v>8368.7199999999993</v>
      </c>
      <c r="L587">
        <v>10</v>
      </c>
      <c r="M587" s="2">
        <v>15063.7</v>
      </c>
      <c r="N587" s="2">
        <v>12135.1</v>
      </c>
      <c r="O587" s="2">
        <v>2928.6</v>
      </c>
      <c r="P587" s="1">
        <f>(Sales_Data[[#This Row],[Profit]]/Sales_Data[[#This Row],[Revenue]])</f>
        <v>0.19441438690361595</v>
      </c>
    </row>
    <row r="588" spans="1:16" x14ac:dyDescent="0.35">
      <c r="A588" t="s">
        <v>747</v>
      </c>
      <c r="B588" s="5" t="s">
        <v>743</v>
      </c>
      <c r="C588" s="5" t="s">
        <v>72</v>
      </c>
      <c r="D588" s="5" t="str">
        <f>"Q"&amp;ROUNDUP(MONTH(B588)/3,0)</f>
        <v>Q4</v>
      </c>
      <c r="E588" t="s">
        <v>23</v>
      </c>
      <c r="F588" t="s">
        <v>22</v>
      </c>
      <c r="G588" t="s">
        <v>369</v>
      </c>
      <c r="H588" t="s">
        <v>78</v>
      </c>
      <c r="I588" t="s">
        <v>19</v>
      </c>
      <c r="J588" s="4">
        <v>1</v>
      </c>
      <c r="K588" s="3">
        <v>118.25</v>
      </c>
      <c r="L588">
        <v>10</v>
      </c>
      <c r="M588" s="2">
        <v>106.42</v>
      </c>
      <c r="N588" s="2">
        <v>72.87</v>
      </c>
      <c r="O588" s="2">
        <v>33.549999999999997</v>
      </c>
      <c r="P588" s="1">
        <f>(Sales_Data[[#This Row],[Profit]]/Sales_Data[[#This Row],[Revenue]])</f>
        <v>0.31526028941928208</v>
      </c>
    </row>
    <row r="589" spans="1:16" x14ac:dyDescent="0.35">
      <c r="A589" t="s">
        <v>746</v>
      </c>
      <c r="B589" s="5" t="s">
        <v>745</v>
      </c>
      <c r="C589" s="5" t="s">
        <v>72</v>
      </c>
      <c r="D589" s="5" t="str">
        <f>"Q"&amp;ROUNDUP(MONTH(B589)/3,0)</f>
        <v>Q4</v>
      </c>
      <c r="E589" t="s">
        <v>23</v>
      </c>
      <c r="F589" t="s">
        <v>56</v>
      </c>
      <c r="G589" t="s">
        <v>2</v>
      </c>
      <c r="H589" t="s">
        <v>78</v>
      </c>
      <c r="I589" t="s">
        <v>19</v>
      </c>
      <c r="J589" s="4">
        <v>6</v>
      </c>
      <c r="K589" s="3">
        <v>130.91999999999999</v>
      </c>
      <c r="L589">
        <v>10</v>
      </c>
      <c r="M589" s="2">
        <v>706.97</v>
      </c>
      <c r="N589" s="2">
        <v>417.27</v>
      </c>
      <c r="O589" s="2">
        <v>289.7</v>
      </c>
      <c r="P589" s="1">
        <f>(Sales_Data[[#This Row],[Profit]]/Sales_Data[[#This Row],[Revenue]])</f>
        <v>0.40977693537208082</v>
      </c>
    </row>
    <row r="590" spans="1:16" x14ac:dyDescent="0.35">
      <c r="A590" t="s">
        <v>744</v>
      </c>
      <c r="B590" s="5" t="s">
        <v>743</v>
      </c>
      <c r="C590" s="5" t="s">
        <v>72</v>
      </c>
      <c r="D590" s="5" t="str">
        <f>"Q"&amp;ROUNDUP(MONTH(B590)/3,0)</f>
        <v>Q4</v>
      </c>
      <c r="E590" t="s">
        <v>23</v>
      </c>
      <c r="F590" t="s">
        <v>52</v>
      </c>
      <c r="G590" t="s">
        <v>60</v>
      </c>
      <c r="H590" t="s">
        <v>45</v>
      </c>
      <c r="I590" t="s">
        <v>8</v>
      </c>
      <c r="J590" s="4">
        <v>7</v>
      </c>
      <c r="K590" s="3">
        <v>957.14</v>
      </c>
      <c r="L590">
        <v>10</v>
      </c>
      <c r="M590" s="2">
        <v>6029.98</v>
      </c>
      <c r="N590" s="2">
        <v>4840.2700000000004</v>
      </c>
      <c r="O590" s="2">
        <v>1189.71</v>
      </c>
      <c r="P590" s="1">
        <f>(Sales_Data[[#This Row],[Profit]]/Sales_Data[[#This Row],[Revenue]])</f>
        <v>0.19729916185459986</v>
      </c>
    </row>
    <row r="591" spans="1:16" x14ac:dyDescent="0.35">
      <c r="A591" t="s">
        <v>742</v>
      </c>
      <c r="B591" s="5" t="s">
        <v>443</v>
      </c>
      <c r="C591" s="5" t="s">
        <v>5</v>
      </c>
      <c r="D591" s="5" t="str">
        <f>"Q"&amp;ROUNDUP(MONTH(B591)/3,0)</f>
        <v>Q3</v>
      </c>
      <c r="E591" t="s">
        <v>36</v>
      </c>
      <c r="F591" t="s">
        <v>56</v>
      </c>
      <c r="G591" t="s">
        <v>66</v>
      </c>
      <c r="H591" t="s">
        <v>1</v>
      </c>
      <c r="I591" t="s">
        <v>0</v>
      </c>
      <c r="J591" s="4">
        <v>4</v>
      </c>
      <c r="K591" s="3">
        <v>491.5</v>
      </c>
      <c r="L591">
        <v>10</v>
      </c>
      <c r="M591" s="2">
        <v>1769.4</v>
      </c>
      <c r="N591" s="2">
        <v>1328.03</v>
      </c>
      <c r="O591" s="2">
        <v>441.37</v>
      </c>
      <c r="P591" s="1">
        <f>(Sales_Data[[#This Row],[Profit]]/Sales_Data[[#This Row],[Revenue]])</f>
        <v>0.24944613993444104</v>
      </c>
    </row>
    <row r="592" spans="1:16" x14ac:dyDescent="0.35">
      <c r="A592" t="s">
        <v>741</v>
      </c>
      <c r="B592" s="5" t="s">
        <v>441</v>
      </c>
      <c r="C592" s="5" t="s">
        <v>5</v>
      </c>
      <c r="D592" s="5" t="str">
        <f>"Q"&amp;ROUNDUP(MONTH(B592)/3,0)</f>
        <v>Q3</v>
      </c>
      <c r="E592" t="s">
        <v>16</v>
      </c>
      <c r="F592" t="s">
        <v>11</v>
      </c>
      <c r="G592" t="s">
        <v>31</v>
      </c>
      <c r="H592" t="s">
        <v>14</v>
      </c>
      <c r="I592" t="s">
        <v>8</v>
      </c>
      <c r="J592" s="4">
        <v>2</v>
      </c>
      <c r="K592" s="3">
        <v>2264</v>
      </c>
      <c r="L592">
        <v>10</v>
      </c>
      <c r="M592" s="2">
        <v>4075.2</v>
      </c>
      <c r="N592" s="2">
        <v>2578.15</v>
      </c>
      <c r="O592" s="2">
        <v>1497.05</v>
      </c>
      <c r="P592" s="1">
        <f>(Sales_Data[[#This Row],[Profit]]/Sales_Data[[#This Row],[Revenue]])</f>
        <v>0.36735620337652142</v>
      </c>
    </row>
    <row r="593" spans="1:16" x14ac:dyDescent="0.35">
      <c r="A593" t="s">
        <v>740</v>
      </c>
      <c r="B593" s="5" t="s">
        <v>439</v>
      </c>
      <c r="C593" s="5" t="s">
        <v>5</v>
      </c>
      <c r="D593" s="5" t="str">
        <f>"Q"&amp;ROUNDUP(MONTH(B593)/3,0)</f>
        <v>Q3</v>
      </c>
      <c r="E593" t="s">
        <v>23</v>
      </c>
      <c r="F593" t="s">
        <v>52</v>
      </c>
      <c r="G593" t="s">
        <v>98</v>
      </c>
      <c r="H593" t="s">
        <v>1</v>
      </c>
      <c r="I593" t="s">
        <v>0</v>
      </c>
      <c r="J593" s="4">
        <v>5</v>
      </c>
      <c r="K593" s="3">
        <v>532.64</v>
      </c>
      <c r="L593">
        <v>10</v>
      </c>
      <c r="M593" s="2">
        <v>2396.88</v>
      </c>
      <c r="N593" s="2">
        <v>1400.81</v>
      </c>
      <c r="O593" s="2">
        <v>996.07</v>
      </c>
      <c r="P593" s="1">
        <f>(Sales_Data[[#This Row],[Profit]]/Sales_Data[[#This Row],[Revenue]])</f>
        <v>0.41556940689563099</v>
      </c>
    </row>
    <row r="594" spans="1:16" x14ac:dyDescent="0.35">
      <c r="A594" t="s">
        <v>739</v>
      </c>
      <c r="B594" s="5" t="s">
        <v>27</v>
      </c>
      <c r="C594" s="5" t="s">
        <v>5</v>
      </c>
      <c r="D594" s="5" t="str">
        <f>"Q"&amp;ROUNDUP(MONTH(B594)/3,0)</f>
        <v>Q3</v>
      </c>
      <c r="E594" t="s">
        <v>16</v>
      </c>
      <c r="F594" t="s">
        <v>22</v>
      </c>
      <c r="G594" t="s">
        <v>116</v>
      </c>
      <c r="H594" t="s">
        <v>45</v>
      </c>
      <c r="I594" t="s">
        <v>8</v>
      </c>
      <c r="J594" s="4">
        <v>4</v>
      </c>
      <c r="K594" s="3">
        <v>928.71</v>
      </c>
      <c r="L594">
        <v>10</v>
      </c>
      <c r="M594" s="2">
        <v>3343.36</v>
      </c>
      <c r="N594" s="2">
        <v>1920.59</v>
      </c>
      <c r="O594" s="2">
        <v>1422.77</v>
      </c>
      <c r="P594" s="1">
        <f>(Sales_Data[[#This Row],[Profit]]/Sales_Data[[#This Row],[Revenue]])</f>
        <v>0.42555094276416539</v>
      </c>
    </row>
    <row r="595" spans="1:16" x14ac:dyDescent="0.35">
      <c r="A595" t="s">
        <v>738</v>
      </c>
      <c r="B595" s="5" t="s">
        <v>12</v>
      </c>
      <c r="C595" s="5" t="s">
        <v>5</v>
      </c>
      <c r="D595" s="5" t="str">
        <f>"Q"&amp;ROUNDUP(MONTH(B595)/3,0)</f>
        <v>Q3</v>
      </c>
      <c r="E595" t="s">
        <v>4</v>
      </c>
      <c r="F595" t="s">
        <v>3</v>
      </c>
      <c r="G595" t="s">
        <v>85</v>
      </c>
      <c r="H595" t="s">
        <v>20</v>
      </c>
      <c r="I595" t="s">
        <v>19</v>
      </c>
      <c r="J595" s="4">
        <v>6</v>
      </c>
      <c r="K595" s="3">
        <v>32.229999999999997</v>
      </c>
      <c r="L595">
        <v>10</v>
      </c>
      <c r="M595" s="2">
        <v>174.04</v>
      </c>
      <c r="N595" s="2">
        <v>115.46</v>
      </c>
      <c r="O595" s="2">
        <v>58.58</v>
      </c>
      <c r="P595" s="1">
        <f>(Sales_Data[[#This Row],[Profit]]/Sales_Data[[#This Row],[Revenue]])</f>
        <v>0.33658928981843256</v>
      </c>
    </row>
    <row r="596" spans="1:16" x14ac:dyDescent="0.35">
      <c r="A596" t="s">
        <v>737</v>
      </c>
      <c r="B596" s="5" t="s">
        <v>435</v>
      </c>
      <c r="C596" s="5" t="s">
        <v>5</v>
      </c>
      <c r="D596" s="5" t="str">
        <f>"Q"&amp;ROUNDUP(MONTH(B596)/3,0)</f>
        <v>Q3</v>
      </c>
      <c r="E596" t="s">
        <v>36</v>
      </c>
      <c r="F596" t="s">
        <v>3</v>
      </c>
      <c r="G596" t="s">
        <v>104</v>
      </c>
      <c r="H596" t="s">
        <v>20</v>
      </c>
      <c r="I596" t="s">
        <v>19</v>
      </c>
      <c r="J596" s="4">
        <v>3</v>
      </c>
      <c r="K596" s="3">
        <v>30.36</v>
      </c>
      <c r="L596">
        <v>10</v>
      </c>
      <c r="M596" s="2">
        <v>81.97</v>
      </c>
      <c r="N596" s="2">
        <v>50.71</v>
      </c>
      <c r="O596" s="2">
        <v>31.26</v>
      </c>
      <c r="P596" s="1">
        <f>(Sales_Data[[#This Row],[Profit]]/Sales_Data[[#This Row],[Revenue]])</f>
        <v>0.38135903379285108</v>
      </c>
    </row>
    <row r="597" spans="1:16" x14ac:dyDescent="0.35">
      <c r="A597" t="s">
        <v>736</v>
      </c>
      <c r="B597" s="5" t="s">
        <v>441</v>
      </c>
      <c r="C597" s="5" t="s">
        <v>5</v>
      </c>
      <c r="D597" s="5" t="str">
        <f>"Q"&amp;ROUNDUP(MONTH(B597)/3,0)</f>
        <v>Q3</v>
      </c>
      <c r="E597" t="s">
        <v>36</v>
      </c>
      <c r="F597" t="s">
        <v>52</v>
      </c>
      <c r="G597" t="s">
        <v>101</v>
      </c>
      <c r="H597" t="s">
        <v>45</v>
      </c>
      <c r="I597" t="s">
        <v>8</v>
      </c>
      <c r="J597" s="4">
        <v>7</v>
      </c>
      <c r="K597" s="3">
        <v>880.63</v>
      </c>
      <c r="L597">
        <v>10</v>
      </c>
      <c r="M597" s="2">
        <v>5547.97</v>
      </c>
      <c r="N597" s="2">
        <v>3292.55</v>
      </c>
      <c r="O597" s="2">
        <v>2255.42</v>
      </c>
      <c r="P597" s="1">
        <f>(Sales_Data[[#This Row],[Profit]]/Sales_Data[[#This Row],[Revenue]])</f>
        <v>0.40653067698635714</v>
      </c>
    </row>
    <row r="598" spans="1:16" x14ac:dyDescent="0.35">
      <c r="A598" t="s">
        <v>735</v>
      </c>
      <c r="B598" s="5" t="s">
        <v>64</v>
      </c>
      <c r="C598" s="5" t="s">
        <v>5</v>
      </c>
      <c r="D598" s="5" t="str">
        <f>"Q"&amp;ROUNDUP(MONTH(B598)/3,0)</f>
        <v>Q3</v>
      </c>
      <c r="E598" t="s">
        <v>16</v>
      </c>
      <c r="F598" t="s">
        <v>56</v>
      </c>
      <c r="G598" t="s">
        <v>309</v>
      </c>
      <c r="H598" t="s">
        <v>20</v>
      </c>
      <c r="I598" t="s">
        <v>19</v>
      </c>
      <c r="J598" s="4">
        <v>3</v>
      </c>
      <c r="K598" s="3">
        <v>28.9</v>
      </c>
      <c r="L598">
        <v>10</v>
      </c>
      <c r="M598" s="2">
        <v>78.03</v>
      </c>
      <c r="N598" s="2">
        <v>66.06</v>
      </c>
      <c r="O598" s="2">
        <v>11.97</v>
      </c>
      <c r="P598" s="1">
        <f>(Sales_Data[[#This Row],[Profit]]/Sales_Data[[#This Row],[Revenue]])</f>
        <v>0.15340253748558247</v>
      </c>
    </row>
    <row r="599" spans="1:16" x14ac:dyDescent="0.35">
      <c r="A599" t="s">
        <v>734</v>
      </c>
      <c r="B599" s="5" t="s">
        <v>733</v>
      </c>
      <c r="C599" s="5" t="s">
        <v>5</v>
      </c>
      <c r="D599" s="5" t="str">
        <f>"Q"&amp;ROUNDUP(MONTH(B599)/3,0)</f>
        <v>Q3</v>
      </c>
      <c r="E599" t="s">
        <v>23</v>
      </c>
      <c r="F599" t="s">
        <v>52</v>
      </c>
      <c r="G599" t="s">
        <v>55</v>
      </c>
      <c r="H599" t="s">
        <v>1</v>
      </c>
      <c r="I599" t="s">
        <v>0</v>
      </c>
      <c r="J599" s="4">
        <v>7</v>
      </c>
      <c r="K599" s="3">
        <v>450.2</v>
      </c>
      <c r="L599">
        <v>10</v>
      </c>
      <c r="M599" s="2">
        <v>2836.26</v>
      </c>
      <c r="N599" s="2">
        <v>1930.57</v>
      </c>
      <c r="O599" s="2">
        <v>905.69</v>
      </c>
      <c r="P599" s="1">
        <f>(Sales_Data[[#This Row],[Profit]]/Sales_Data[[#This Row],[Revenue]])</f>
        <v>0.3193254497119446</v>
      </c>
    </row>
    <row r="600" spans="1:16" x14ac:dyDescent="0.35">
      <c r="A600" t="s">
        <v>732</v>
      </c>
      <c r="B600" s="5" t="s">
        <v>27</v>
      </c>
      <c r="C600" s="5" t="s">
        <v>5</v>
      </c>
      <c r="D600" s="5" t="str">
        <f>"Q"&amp;ROUNDUP(MONTH(B600)/3,0)</f>
        <v>Q3</v>
      </c>
      <c r="E600" t="s">
        <v>4</v>
      </c>
      <c r="F600" t="s">
        <v>52</v>
      </c>
      <c r="G600" t="s">
        <v>294</v>
      </c>
      <c r="H600" t="s">
        <v>34</v>
      </c>
      <c r="I600" t="s">
        <v>8</v>
      </c>
      <c r="J600" s="4">
        <v>2</v>
      </c>
      <c r="K600" s="3">
        <v>27050.48</v>
      </c>
      <c r="L600">
        <v>10</v>
      </c>
      <c r="M600" s="2">
        <v>48690.86</v>
      </c>
      <c r="N600" s="2">
        <v>27198.51</v>
      </c>
      <c r="O600" s="2">
        <v>21492.35</v>
      </c>
      <c r="P600" s="1">
        <f>(Sales_Data[[#This Row],[Profit]]/Sales_Data[[#This Row],[Revenue]])</f>
        <v>0.44140419783096863</v>
      </c>
    </row>
    <row r="601" spans="1:16" x14ac:dyDescent="0.35">
      <c r="A601" t="s">
        <v>731</v>
      </c>
      <c r="B601" s="5" t="s">
        <v>53</v>
      </c>
      <c r="C601" s="5" t="s">
        <v>5</v>
      </c>
      <c r="D601" s="5" t="str">
        <f>"Q"&amp;ROUNDUP(MONTH(B601)/3,0)</f>
        <v>Q3</v>
      </c>
      <c r="E601" t="s">
        <v>23</v>
      </c>
      <c r="F601" t="s">
        <v>56</v>
      </c>
      <c r="G601" t="s">
        <v>128</v>
      </c>
      <c r="H601" t="s">
        <v>9</v>
      </c>
      <c r="I601" t="s">
        <v>8</v>
      </c>
      <c r="J601" s="4">
        <v>3</v>
      </c>
      <c r="K601" s="3">
        <v>60891.79</v>
      </c>
      <c r="L601">
        <v>10</v>
      </c>
      <c r="M601" s="2">
        <v>164407.82999999999</v>
      </c>
      <c r="N601" s="2">
        <v>99336.81</v>
      </c>
      <c r="O601" s="2">
        <v>65071.02</v>
      </c>
      <c r="P601" s="1">
        <f>(Sales_Data[[#This Row],[Profit]]/Sales_Data[[#This Row],[Revenue]])</f>
        <v>0.39579027349244866</v>
      </c>
    </row>
    <row r="602" spans="1:16" x14ac:dyDescent="0.35">
      <c r="A602" t="s">
        <v>730</v>
      </c>
      <c r="B602" s="5" t="s">
        <v>6</v>
      </c>
      <c r="C602" s="5" t="s">
        <v>5</v>
      </c>
      <c r="D602" s="5" t="str">
        <f>"Q"&amp;ROUNDUP(MONTH(B602)/3,0)</f>
        <v>Q3</v>
      </c>
      <c r="E602" t="s">
        <v>4</v>
      </c>
      <c r="F602" t="s">
        <v>63</v>
      </c>
      <c r="G602" t="s">
        <v>35</v>
      </c>
      <c r="H602" t="s">
        <v>14</v>
      </c>
      <c r="I602" t="s">
        <v>8</v>
      </c>
      <c r="J602" s="4">
        <v>2</v>
      </c>
      <c r="K602" s="3">
        <v>2677.71</v>
      </c>
      <c r="L602">
        <v>10</v>
      </c>
      <c r="M602" s="2">
        <v>4819.88</v>
      </c>
      <c r="N602" s="2">
        <v>3189.02</v>
      </c>
      <c r="O602" s="2">
        <v>1630.86</v>
      </c>
      <c r="P602" s="1">
        <f>(Sales_Data[[#This Row],[Profit]]/Sales_Data[[#This Row],[Revenue]])</f>
        <v>0.33836112102375993</v>
      </c>
    </row>
    <row r="603" spans="1:16" x14ac:dyDescent="0.35">
      <c r="A603" t="s">
        <v>729</v>
      </c>
      <c r="B603" s="5" t="s">
        <v>723</v>
      </c>
      <c r="C603" s="5" t="s">
        <v>5</v>
      </c>
      <c r="D603" s="5" t="str">
        <f>"Q"&amp;ROUNDUP(MONTH(B603)/3,0)</f>
        <v>Q3</v>
      </c>
      <c r="E603" t="s">
        <v>23</v>
      </c>
      <c r="F603" t="s">
        <v>56</v>
      </c>
      <c r="G603" t="s">
        <v>55</v>
      </c>
      <c r="H603" t="s">
        <v>111</v>
      </c>
      <c r="I603" t="s">
        <v>49</v>
      </c>
      <c r="J603" s="4">
        <v>8</v>
      </c>
      <c r="K603" s="3">
        <v>8051.86</v>
      </c>
      <c r="L603">
        <v>10</v>
      </c>
      <c r="M603" s="2">
        <v>57973.39</v>
      </c>
      <c r="N603" s="2">
        <v>37457.72</v>
      </c>
      <c r="O603" s="2">
        <v>20515.669999999998</v>
      </c>
      <c r="P603" s="1">
        <f>(Sales_Data[[#This Row],[Profit]]/Sales_Data[[#This Row],[Revenue]])</f>
        <v>0.35388080634925778</v>
      </c>
    </row>
    <row r="604" spans="1:16" x14ac:dyDescent="0.35">
      <c r="A604" t="s">
        <v>728</v>
      </c>
      <c r="B604" s="5" t="s">
        <v>12</v>
      </c>
      <c r="C604" s="5" t="s">
        <v>5</v>
      </c>
      <c r="D604" s="5" t="str">
        <f>"Q"&amp;ROUNDUP(MONTH(B604)/3,0)</f>
        <v>Q3</v>
      </c>
      <c r="E604" t="s">
        <v>16</v>
      </c>
      <c r="F604" t="s">
        <v>56</v>
      </c>
      <c r="G604" t="s">
        <v>104</v>
      </c>
      <c r="H604" t="s">
        <v>50</v>
      </c>
      <c r="I604" t="s">
        <v>49</v>
      </c>
      <c r="J604" s="4">
        <v>5</v>
      </c>
      <c r="K604" s="3">
        <v>4361.67</v>
      </c>
      <c r="L604">
        <v>10</v>
      </c>
      <c r="M604" s="2">
        <v>19627.509999999998</v>
      </c>
      <c r="N604" s="2">
        <v>14289.88</v>
      </c>
      <c r="O604" s="2">
        <v>5337.63</v>
      </c>
      <c r="P604" s="1">
        <f>(Sales_Data[[#This Row],[Profit]]/Sales_Data[[#This Row],[Revenue]])</f>
        <v>0.27194636507636477</v>
      </c>
    </row>
    <row r="605" spans="1:16" x14ac:dyDescent="0.35">
      <c r="A605" t="s">
        <v>727</v>
      </c>
      <c r="B605" s="5" t="s">
        <v>53</v>
      </c>
      <c r="C605" s="5" t="s">
        <v>5</v>
      </c>
      <c r="D605" s="5" t="str">
        <f>"Q"&amp;ROUNDUP(MONTH(B605)/3,0)</f>
        <v>Q3</v>
      </c>
      <c r="E605" t="s">
        <v>16</v>
      </c>
      <c r="F605" t="s">
        <v>11</v>
      </c>
      <c r="G605" t="s">
        <v>191</v>
      </c>
      <c r="H605" t="s">
        <v>111</v>
      </c>
      <c r="I605" t="s">
        <v>49</v>
      </c>
      <c r="J605" s="4">
        <v>6</v>
      </c>
      <c r="K605" s="3">
        <v>7787.28</v>
      </c>
      <c r="L605">
        <v>10</v>
      </c>
      <c r="M605" s="2">
        <v>42051.31</v>
      </c>
      <c r="N605" s="2">
        <v>30751.53</v>
      </c>
      <c r="O605" s="2">
        <v>11299.78</v>
      </c>
      <c r="P605" s="1">
        <f>(Sales_Data[[#This Row],[Profit]]/Sales_Data[[#This Row],[Revenue]])</f>
        <v>0.26871410189123718</v>
      </c>
    </row>
    <row r="606" spans="1:16" x14ac:dyDescent="0.35">
      <c r="A606" t="s">
        <v>726</v>
      </c>
      <c r="B606" s="5" t="s">
        <v>443</v>
      </c>
      <c r="C606" s="5" t="s">
        <v>5</v>
      </c>
      <c r="D606" s="5" t="str">
        <f>"Q"&amp;ROUNDUP(MONTH(B606)/3,0)</f>
        <v>Q3</v>
      </c>
      <c r="E606" t="s">
        <v>4</v>
      </c>
      <c r="F606" t="s">
        <v>3</v>
      </c>
      <c r="G606" t="s">
        <v>66</v>
      </c>
      <c r="H606" t="s">
        <v>14</v>
      </c>
      <c r="I606" t="s">
        <v>8</v>
      </c>
      <c r="J606" s="4">
        <v>6</v>
      </c>
      <c r="K606" s="3">
        <v>2425.6</v>
      </c>
      <c r="L606">
        <v>10</v>
      </c>
      <c r="M606" s="2">
        <v>13098.24</v>
      </c>
      <c r="N606" s="2">
        <v>8680.64</v>
      </c>
      <c r="O606" s="2">
        <v>4417.6000000000004</v>
      </c>
      <c r="P606" s="1">
        <f>(Sales_Data[[#This Row],[Profit]]/Sales_Data[[#This Row],[Revenue]])</f>
        <v>0.33726668621127726</v>
      </c>
    </row>
    <row r="607" spans="1:16" x14ac:dyDescent="0.35">
      <c r="A607" t="s">
        <v>725</v>
      </c>
      <c r="B607" s="5" t="s">
        <v>64</v>
      </c>
      <c r="C607" s="5" t="s">
        <v>5</v>
      </c>
      <c r="D607" s="5" t="str">
        <f>"Q"&amp;ROUNDUP(MONTH(B607)/3,0)</f>
        <v>Q3</v>
      </c>
      <c r="E607" t="s">
        <v>36</v>
      </c>
      <c r="F607" t="s">
        <v>22</v>
      </c>
      <c r="G607" t="s">
        <v>66</v>
      </c>
      <c r="H607" t="s">
        <v>34</v>
      </c>
      <c r="I607" t="s">
        <v>8</v>
      </c>
      <c r="J607" s="4">
        <v>5</v>
      </c>
      <c r="K607" s="3">
        <v>27230.25</v>
      </c>
      <c r="L607">
        <v>10</v>
      </c>
      <c r="M607" s="2">
        <v>122536.12</v>
      </c>
      <c r="N607" s="2">
        <v>79457.73</v>
      </c>
      <c r="O607" s="2">
        <v>43078.39</v>
      </c>
      <c r="P607" s="1">
        <f>(Sales_Data[[#This Row],[Profit]]/Sales_Data[[#This Row],[Revenue]])</f>
        <v>0.35155666753607018</v>
      </c>
    </row>
    <row r="608" spans="1:16" x14ac:dyDescent="0.35">
      <c r="A608" t="s">
        <v>724</v>
      </c>
      <c r="B608" s="5" t="s">
        <v>723</v>
      </c>
      <c r="C608" s="5" t="s">
        <v>5</v>
      </c>
      <c r="D608" s="5" t="str">
        <f>"Q"&amp;ROUNDUP(MONTH(B608)/3,0)</f>
        <v>Q3</v>
      </c>
      <c r="E608" t="s">
        <v>4</v>
      </c>
      <c r="F608" t="s">
        <v>3</v>
      </c>
      <c r="G608" t="s">
        <v>98</v>
      </c>
      <c r="H608" t="s">
        <v>50</v>
      </c>
      <c r="I608" t="s">
        <v>49</v>
      </c>
      <c r="J608" s="4">
        <v>4</v>
      </c>
      <c r="K608" s="3">
        <v>4652.0200000000004</v>
      </c>
      <c r="L608">
        <v>10</v>
      </c>
      <c r="M608" s="2">
        <v>16747.27</v>
      </c>
      <c r="N608" s="2">
        <v>13001.14</v>
      </c>
      <c r="O608" s="2">
        <v>3746.13</v>
      </c>
      <c r="P608" s="1">
        <f>(Sales_Data[[#This Row],[Profit]]/Sales_Data[[#This Row],[Revenue]])</f>
        <v>0.22368600971979313</v>
      </c>
    </row>
    <row r="609" spans="1:16" x14ac:dyDescent="0.35">
      <c r="A609" t="s">
        <v>722</v>
      </c>
      <c r="B609" s="5" t="s">
        <v>6</v>
      </c>
      <c r="C609" s="5" t="s">
        <v>5</v>
      </c>
      <c r="D609" s="5" t="str">
        <f>"Q"&amp;ROUNDUP(MONTH(B609)/3,0)</f>
        <v>Q3</v>
      </c>
      <c r="E609" t="s">
        <v>23</v>
      </c>
      <c r="F609" t="s">
        <v>63</v>
      </c>
      <c r="G609" t="s">
        <v>147</v>
      </c>
      <c r="H609" t="s">
        <v>1</v>
      </c>
      <c r="I609" t="s">
        <v>0</v>
      </c>
      <c r="J609" s="4">
        <v>6</v>
      </c>
      <c r="K609" s="3">
        <v>473.58</v>
      </c>
      <c r="L609">
        <v>10</v>
      </c>
      <c r="M609" s="2">
        <v>2557.33</v>
      </c>
      <c r="N609" s="2">
        <v>1729.11</v>
      </c>
      <c r="O609" s="2">
        <v>828.22</v>
      </c>
      <c r="P609" s="1">
        <f>(Sales_Data[[#This Row],[Profit]]/Sales_Data[[#This Row],[Revenue]])</f>
        <v>0.32386121462619216</v>
      </c>
    </row>
    <row r="610" spans="1:16" x14ac:dyDescent="0.35">
      <c r="A610" t="s">
        <v>721</v>
      </c>
      <c r="B610" s="5" t="s">
        <v>439</v>
      </c>
      <c r="C610" s="5" t="s">
        <v>5</v>
      </c>
      <c r="D610" s="5" t="str">
        <f>"Q"&amp;ROUNDUP(MONTH(B610)/3,0)</f>
        <v>Q3</v>
      </c>
      <c r="E610" t="s">
        <v>36</v>
      </c>
      <c r="F610" t="s">
        <v>3</v>
      </c>
      <c r="G610" t="s">
        <v>128</v>
      </c>
      <c r="H610" t="s">
        <v>20</v>
      </c>
      <c r="I610" t="s">
        <v>19</v>
      </c>
      <c r="J610" s="4">
        <v>2</v>
      </c>
      <c r="K610" s="3">
        <v>27.77</v>
      </c>
      <c r="L610">
        <v>10</v>
      </c>
      <c r="M610" s="2">
        <v>49.99</v>
      </c>
      <c r="N610" s="2">
        <v>36.47</v>
      </c>
      <c r="O610" s="2">
        <v>13.52</v>
      </c>
      <c r="P610" s="1">
        <f>(Sales_Data[[#This Row],[Profit]]/Sales_Data[[#This Row],[Revenue]])</f>
        <v>0.27045409081816363</v>
      </c>
    </row>
    <row r="611" spans="1:16" x14ac:dyDescent="0.35">
      <c r="A611" t="s">
        <v>720</v>
      </c>
      <c r="B611" s="5" t="s">
        <v>706</v>
      </c>
      <c r="C611" s="5" t="s">
        <v>408</v>
      </c>
      <c r="D611" s="5" t="str">
        <f>"Q"&amp;ROUNDUP(MONTH(B611)/3,0)</f>
        <v>Q2</v>
      </c>
      <c r="E611" t="s">
        <v>4</v>
      </c>
      <c r="F611" t="s">
        <v>52</v>
      </c>
      <c r="G611" t="s">
        <v>369</v>
      </c>
      <c r="H611" t="s">
        <v>50</v>
      </c>
      <c r="I611" t="s">
        <v>49</v>
      </c>
      <c r="J611" s="4">
        <v>1</v>
      </c>
      <c r="K611" s="3">
        <v>4364.22</v>
      </c>
      <c r="L611">
        <v>5</v>
      </c>
      <c r="M611" s="2">
        <v>4146.01</v>
      </c>
      <c r="N611" s="2">
        <v>2539.2399999999998</v>
      </c>
      <c r="O611" s="2">
        <v>1606.77</v>
      </c>
      <c r="P611" s="1">
        <f>(Sales_Data[[#This Row],[Profit]]/Sales_Data[[#This Row],[Revenue]])</f>
        <v>0.3875460985381125</v>
      </c>
    </row>
    <row r="612" spans="1:16" x14ac:dyDescent="0.35">
      <c r="A612" t="s">
        <v>719</v>
      </c>
      <c r="B612" s="5" t="s">
        <v>718</v>
      </c>
      <c r="C612" s="5" t="s">
        <v>408</v>
      </c>
      <c r="D612" s="5" t="str">
        <f>"Q"&amp;ROUNDUP(MONTH(B612)/3,0)</f>
        <v>Q2</v>
      </c>
      <c r="E612" t="s">
        <v>36</v>
      </c>
      <c r="F612" t="s">
        <v>56</v>
      </c>
      <c r="G612" t="s">
        <v>231</v>
      </c>
      <c r="H612" t="s">
        <v>9</v>
      </c>
      <c r="I612" t="s">
        <v>8</v>
      </c>
      <c r="J612" s="4">
        <v>8</v>
      </c>
      <c r="K612" s="3">
        <v>56765.440000000002</v>
      </c>
      <c r="L612">
        <v>5</v>
      </c>
      <c r="M612" s="2">
        <v>431417.34</v>
      </c>
      <c r="N612" s="2">
        <v>273344.34999999998</v>
      </c>
      <c r="O612" s="2">
        <v>158072.99</v>
      </c>
      <c r="P612" s="1">
        <f>(Sales_Data[[#This Row],[Profit]]/Sales_Data[[#This Row],[Revenue]])</f>
        <v>0.36640388631574239</v>
      </c>
    </row>
    <row r="613" spans="1:16" x14ac:dyDescent="0.35">
      <c r="A613" t="s">
        <v>717</v>
      </c>
      <c r="B613" s="5" t="s">
        <v>421</v>
      </c>
      <c r="C613" s="5" t="s">
        <v>408</v>
      </c>
      <c r="D613" s="5" t="str">
        <f>"Q"&amp;ROUNDUP(MONTH(B613)/3,0)</f>
        <v>Q2</v>
      </c>
      <c r="E613" t="s">
        <v>23</v>
      </c>
      <c r="F613" t="s">
        <v>11</v>
      </c>
      <c r="G613" t="s">
        <v>46</v>
      </c>
      <c r="H613" t="s">
        <v>9</v>
      </c>
      <c r="I613" t="s">
        <v>8</v>
      </c>
      <c r="J613" s="4">
        <v>2</v>
      </c>
      <c r="K613" s="3">
        <v>54741.760000000002</v>
      </c>
      <c r="L613">
        <v>5</v>
      </c>
      <c r="M613" s="2">
        <v>104009.34</v>
      </c>
      <c r="N613" s="2">
        <v>75061.990000000005</v>
      </c>
      <c r="O613" s="2">
        <v>28947.35</v>
      </c>
      <c r="P613" s="1">
        <f>(Sales_Data[[#This Row],[Profit]]/Sales_Data[[#This Row],[Revenue]])</f>
        <v>0.27831490902643935</v>
      </c>
    </row>
    <row r="614" spans="1:16" x14ac:dyDescent="0.35">
      <c r="A614" t="s">
        <v>716</v>
      </c>
      <c r="B614" s="5" t="s">
        <v>424</v>
      </c>
      <c r="C614" s="5" t="s">
        <v>408</v>
      </c>
      <c r="D614" s="5" t="str">
        <f>"Q"&amp;ROUNDUP(MONTH(B614)/3,0)</f>
        <v>Q2</v>
      </c>
      <c r="E614" t="s">
        <v>36</v>
      </c>
      <c r="F614" t="s">
        <v>63</v>
      </c>
      <c r="G614" t="s">
        <v>150</v>
      </c>
      <c r="H614" t="s">
        <v>1</v>
      </c>
      <c r="I614" t="s">
        <v>0</v>
      </c>
      <c r="J614" s="4">
        <v>6</v>
      </c>
      <c r="K614" s="3">
        <v>450.83</v>
      </c>
      <c r="L614">
        <v>5</v>
      </c>
      <c r="M614" s="2">
        <v>2569.73</v>
      </c>
      <c r="N614" s="2">
        <v>1465.43</v>
      </c>
      <c r="O614" s="2">
        <v>1104.3</v>
      </c>
      <c r="P614" s="1">
        <f>(Sales_Data[[#This Row],[Profit]]/Sales_Data[[#This Row],[Revenue]])</f>
        <v>0.42973386309067485</v>
      </c>
    </row>
    <row r="615" spans="1:16" x14ac:dyDescent="0.35">
      <c r="A615" t="s">
        <v>715</v>
      </c>
      <c r="B615" s="5" t="s">
        <v>413</v>
      </c>
      <c r="C615" s="5" t="s">
        <v>408</v>
      </c>
      <c r="D615" s="5" t="str">
        <f>"Q"&amp;ROUNDUP(MONTH(B615)/3,0)</f>
        <v>Q2</v>
      </c>
      <c r="E615" t="s">
        <v>36</v>
      </c>
      <c r="F615" t="s">
        <v>52</v>
      </c>
      <c r="G615" t="s">
        <v>104</v>
      </c>
      <c r="H615" t="s">
        <v>9</v>
      </c>
      <c r="I615" t="s">
        <v>8</v>
      </c>
      <c r="J615" s="4">
        <v>1</v>
      </c>
      <c r="K615" s="3">
        <v>60195.93</v>
      </c>
      <c r="L615">
        <v>5</v>
      </c>
      <c r="M615" s="2">
        <v>57186.13</v>
      </c>
      <c r="N615" s="2">
        <v>47134.84</v>
      </c>
      <c r="O615" s="2">
        <v>10051.290000000001</v>
      </c>
      <c r="P615" s="1">
        <f>(Sales_Data[[#This Row],[Profit]]/Sales_Data[[#This Row],[Revenue]])</f>
        <v>0.1757644729587402</v>
      </c>
    </row>
    <row r="616" spans="1:16" x14ac:dyDescent="0.35">
      <c r="A616" t="s">
        <v>714</v>
      </c>
      <c r="B616" s="5" t="s">
        <v>712</v>
      </c>
      <c r="C616" s="5" t="s">
        <v>408</v>
      </c>
      <c r="D616" s="5" t="str">
        <f>"Q"&amp;ROUNDUP(MONTH(B616)/3,0)</f>
        <v>Q2</v>
      </c>
      <c r="E616" t="s">
        <v>16</v>
      </c>
      <c r="F616" t="s">
        <v>56</v>
      </c>
      <c r="G616" t="s">
        <v>71</v>
      </c>
      <c r="H616" t="s">
        <v>111</v>
      </c>
      <c r="I616" t="s">
        <v>49</v>
      </c>
      <c r="J616" s="4">
        <v>4</v>
      </c>
      <c r="K616" s="3">
        <v>7650.93</v>
      </c>
      <c r="L616">
        <v>5</v>
      </c>
      <c r="M616" s="2">
        <v>29073.53</v>
      </c>
      <c r="N616" s="2">
        <v>20327.419999999998</v>
      </c>
      <c r="O616" s="2">
        <v>8746.11</v>
      </c>
      <c r="P616" s="1">
        <f>(Sales_Data[[#This Row],[Profit]]/Sales_Data[[#This Row],[Revenue]])</f>
        <v>0.30082724732772392</v>
      </c>
    </row>
    <row r="617" spans="1:16" x14ac:dyDescent="0.35">
      <c r="A617" t="s">
        <v>713</v>
      </c>
      <c r="B617" s="5" t="s">
        <v>712</v>
      </c>
      <c r="C617" s="5" t="s">
        <v>408</v>
      </c>
      <c r="D617" s="5" t="str">
        <f>"Q"&amp;ROUNDUP(MONTH(B617)/3,0)</f>
        <v>Q2</v>
      </c>
      <c r="E617" t="s">
        <v>36</v>
      </c>
      <c r="F617" t="s">
        <v>22</v>
      </c>
      <c r="G617" t="s">
        <v>238</v>
      </c>
      <c r="H617" t="s">
        <v>59</v>
      </c>
      <c r="I617" t="s">
        <v>0</v>
      </c>
      <c r="J617" s="4">
        <v>3</v>
      </c>
      <c r="K617" s="3">
        <v>1589.89</v>
      </c>
      <c r="L617">
        <v>5</v>
      </c>
      <c r="M617" s="2">
        <v>4531.1899999999996</v>
      </c>
      <c r="N617" s="2">
        <v>2761.94</v>
      </c>
      <c r="O617" s="2">
        <v>1769.25</v>
      </c>
      <c r="P617" s="1">
        <f>(Sales_Data[[#This Row],[Profit]]/Sales_Data[[#This Row],[Revenue]])</f>
        <v>0.39046034264729579</v>
      </c>
    </row>
    <row r="618" spans="1:16" x14ac:dyDescent="0.35">
      <c r="A618" t="s">
        <v>711</v>
      </c>
      <c r="B618" s="5" t="s">
        <v>710</v>
      </c>
      <c r="C618" s="5" t="s">
        <v>408</v>
      </c>
      <c r="D618" s="5" t="str">
        <f>"Q"&amp;ROUNDUP(MONTH(B618)/3,0)</f>
        <v>Q2</v>
      </c>
      <c r="E618" t="s">
        <v>16</v>
      </c>
      <c r="F618" t="s">
        <v>3</v>
      </c>
      <c r="G618" t="s">
        <v>92</v>
      </c>
      <c r="H618" t="s">
        <v>111</v>
      </c>
      <c r="I618" t="s">
        <v>49</v>
      </c>
      <c r="J618" s="4">
        <v>1</v>
      </c>
      <c r="K618" s="3">
        <v>8417.11</v>
      </c>
      <c r="L618">
        <v>5</v>
      </c>
      <c r="M618" s="2">
        <v>7996.25</v>
      </c>
      <c r="N618" s="2">
        <v>5960.76</v>
      </c>
      <c r="O618" s="2">
        <v>2035.49</v>
      </c>
      <c r="P618" s="1">
        <f>(Sales_Data[[#This Row],[Profit]]/Sales_Data[[#This Row],[Revenue]])</f>
        <v>0.25455557292480852</v>
      </c>
    </row>
    <row r="619" spans="1:16" x14ac:dyDescent="0.35">
      <c r="A619" t="s">
        <v>709</v>
      </c>
      <c r="B619" s="5" t="s">
        <v>708</v>
      </c>
      <c r="C619" s="5" t="s">
        <v>408</v>
      </c>
      <c r="D619" s="5" t="str">
        <f>"Q"&amp;ROUNDUP(MONTH(B619)/3,0)</f>
        <v>Q2</v>
      </c>
      <c r="E619" t="s">
        <v>36</v>
      </c>
      <c r="F619" t="s">
        <v>52</v>
      </c>
      <c r="G619" t="s">
        <v>55</v>
      </c>
      <c r="H619" t="s">
        <v>14</v>
      </c>
      <c r="I619" t="s">
        <v>8</v>
      </c>
      <c r="J619" s="4">
        <v>4</v>
      </c>
      <c r="K619" s="3">
        <v>2492.0500000000002</v>
      </c>
      <c r="L619">
        <v>5</v>
      </c>
      <c r="M619" s="2">
        <v>9469.7900000000009</v>
      </c>
      <c r="N619" s="2">
        <v>7483.35</v>
      </c>
      <c r="O619" s="2">
        <v>1986.44</v>
      </c>
      <c r="P619" s="1">
        <f>(Sales_Data[[#This Row],[Profit]]/Sales_Data[[#This Row],[Revenue]])</f>
        <v>0.20976600325878397</v>
      </c>
    </row>
    <row r="620" spans="1:16" x14ac:dyDescent="0.35">
      <c r="A620" t="s">
        <v>707</v>
      </c>
      <c r="B620" s="5" t="s">
        <v>706</v>
      </c>
      <c r="C620" s="5" t="s">
        <v>408</v>
      </c>
      <c r="D620" s="5" t="str">
        <f>"Q"&amp;ROUNDUP(MONTH(B620)/3,0)</f>
        <v>Q2</v>
      </c>
      <c r="E620" t="s">
        <v>16</v>
      </c>
      <c r="F620" t="s">
        <v>3</v>
      </c>
      <c r="G620" t="s">
        <v>116</v>
      </c>
      <c r="H620" t="s">
        <v>34</v>
      </c>
      <c r="I620" t="s">
        <v>8</v>
      </c>
      <c r="J620" s="4">
        <v>5</v>
      </c>
      <c r="K620" s="3">
        <v>27174.01</v>
      </c>
      <c r="L620">
        <v>5</v>
      </c>
      <c r="M620" s="2">
        <v>129076.55</v>
      </c>
      <c r="N620" s="2">
        <v>96582.12</v>
      </c>
      <c r="O620" s="2">
        <v>32494.43</v>
      </c>
      <c r="P620" s="1">
        <f>(Sales_Data[[#This Row],[Profit]]/Sales_Data[[#This Row],[Revenue]])</f>
        <v>0.25174541773854353</v>
      </c>
    </row>
    <row r="621" spans="1:16" x14ac:dyDescent="0.35">
      <c r="A621" t="s">
        <v>705</v>
      </c>
      <c r="B621" s="5" t="s">
        <v>704</v>
      </c>
      <c r="C621" s="5" t="s">
        <v>408</v>
      </c>
      <c r="D621" s="5" t="str">
        <f>"Q"&amp;ROUNDUP(MONTH(B621)/3,0)</f>
        <v>Q2</v>
      </c>
      <c r="E621" t="s">
        <v>16</v>
      </c>
      <c r="F621" t="s">
        <v>52</v>
      </c>
      <c r="G621" t="s">
        <v>166</v>
      </c>
      <c r="H621" t="s">
        <v>1</v>
      </c>
      <c r="I621" t="s">
        <v>0</v>
      </c>
      <c r="J621" s="4">
        <v>3</v>
      </c>
      <c r="K621" s="3">
        <v>486.09</v>
      </c>
      <c r="L621">
        <v>5</v>
      </c>
      <c r="M621" s="2">
        <v>1385.36</v>
      </c>
      <c r="N621" s="2">
        <v>1079.5999999999999</v>
      </c>
      <c r="O621" s="2">
        <v>305.76</v>
      </c>
      <c r="P621" s="1">
        <f>(Sales_Data[[#This Row],[Profit]]/Sales_Data[[#This Row],[Revenue]])</f>
        <v>0.22070797482242885</v>
      </c>
    </row>
    <row r="622" spans="1:16" x14ac:dyDescent="0.35">
      <c r="A622" t="s">
        <v>703</v>
      </c>
      <c r="B622" s="5" t="s">
        <v>415</v>
      </c>
      <c r="C622" s="5" t="s">
        <v>408</v>
      </c>
      <c r="D622" s="5" t="str">
        <f>"Q"&amp;ROUNDUP(MONTH(B622)/3,0)</f>
        <v>Q2</v>
      </c>
      <c r="E622" t="s">
        <v>36</v>
      </c>
      <c r="F622" t="s">
        <v>52</v>
      </c>
      <c r="G622" t="s">
        <v>21</v>
      </c>
      <c r="H622" t="s">
        <v>34</v>
      </c>
      <c r="I622" t="s">
        <v>8</v>
      </c>
      <c r="J622" s="4">
        <v>7</v>
      </c>
      <c r="K622" s="3">
        <v>25682.73</v>
      </c>
      <c r="L622">
        <v>5</v>
      </c>
      <c r="M622" s="2">
        <v>170790.15</v>
      </c>
      <c r="N622" s="2">
        <v>139968.67000000001</v>
      </c>
      <c r="O622" s="2">
        <v>30821.48</v>
      </c>
      <c r="P622" s="1">
        <f>(Sales_Data[[#This Row],[Profit]]/Sales_Data[[#This Row],[Revenue]])</f>
        <v>0.18046403729957494</v>
      </c>
    </row>
    <row r="623" spans="1:16" x14ac:dyDescent="0.35">
      <c r="A623" t="s">
        <v>702</v>
      </c>
      <c r="B623" s="5" t="s">
        <v>701</v>
      </c>
      <c r="C623" s="5" t="s">
        <v>408</v>
      </c>
      <c r="D623" s="5" t="str">
        <f>"Q"&amp;ROUNDUP(MONTH(B623)/3,0)</f>
        <v>Q2</v>
      </c>
      <c r="E623" t="s">
        <v>4</v>
      </c>
      <c r="F623" t="s">
        <v>3</v>
      </c>
      <c r="G623" t="s">
        <v>66</v>
      </c>
      <c r="H623" t="s">
        <v>34</v>
      </c>
      <c r="I623" t="s">
        <v>8</v>
      </c>
      <c r="J623" s="4">
        <v>4</v>
      </c>
      <c r="K623" s="3">
        <v>24908.87</v>
      </c>
      <c r="L623">
        <v>5</v>
      </c>
      <c r="M623" s="2">
        <v>94653.71</v>
      </c>
      <c r="N623" s="2">
        <v>61443.79</v>
      </c>
      <c r="O623" s="2">
        <v>33209.919999999998</v>
      </c>
      <c r="P623" s="1">
        <f>(Sales_Data[[#This Row],[Profit]]/Sales_Data[[#This Row],[Revenue]])</f>
        <v>0.35085703455258116</v>
      </c>
    </row>
    <row r="624" spans="1:16" x14ac:dyDescent="0.35">
      <c r="A624" t="s">
        <v>700</v>
      </c>
      <c r="B624" s="5" t="s">
        <v>409</v>
      </c>
      <c r="C624" s="5" t="s">
        <v>408</v>
      </c>
      <c r="D624" s="5" t="str">
        <f>"Q"&amp;ROUNDUP(MONTH(B624)/3,0)</f>
        <v>Q2</v>
      </c>
      <c r="E624" t="s">
        <v>4</v>
      </c>
      <c r="F624" t="s">
        <v>52</v>
      </c>
      <c r="G624" t="s">
        <v>118</v>
      </c>
      <c r="H624" t="s">
        <v>1</v>
      </c>
      <c r="I624" t="s">
        <v>0</v>
      </c>
      <c r="J624" s="4">
        <v>3</v>
      </c>
      <c r="K624" s="3">
        <v>516.02</v>
      </c>
      <c r="L624">
        <v>5</v>
      </c>
      <c r="M624" s="2">
        <v>1470.66</v>
      </c>
      <c r="N624" s="2">
        <v>989.27</v>
      </c>
      <c r="O624" s="2">
        <v>481.39</v>
      </c>
      <c r="P624" s="1">
        <f>(Sales_Data[[#This Row],[Profit]]/Sales_Data[[#This Row],[Revenue]])</f>
        <v>0.32732922633375489</v>
      </c>
    </row>
    <row r="625" spans="1:16" x14ac:dyDescent="0.35">
      <c r="A625" t="s">
        <v>699</v>
      </c>
      <c r="B625" s="5" t="s">
        <v>698</v>
      </c>
      <c r="C625" s="5" t="s">
        <v>408</v>
      </c>
      <c r="D625" s="5" t="str">
        <f>"Q"&amp;ROUNDUP(MONTH(B625)/3,0)</f>
        <v>Q2</v>
      </c>
      <c r="E625" t="s">
        <v>36</v>
      </c>
      <c r="F625" t="s">
        <v>11</v>
      </c>
      <c r="G625" t="s">
        <v>2</v>
      </c>
      <c r="H625" t="s">
        <v>59</v>
      </c>
      <c r="I625" t="s">
        <v>0</v>
      </c>
      <c r="J625" s="4">
        <v>1</v>
      </c>
      <c r="K625" s="3">
        <v>1609.55</v>
      </c>
      <c r="L625">
        <v>5</v>
      </c>
      <c r="M625" s="2">
        <v>1529.07</v>
      </c>
      <c r="N625" s="2">
        <v>874.25</v>
      </c>
      <c r="O625" s="2">
        <v>654.82000000000005</v>
      </c>
      <c r="P625" s="1">
        <f>(Sales_Data[[#This Row],[Profit]]/Sales_Data[[#This Row],[Revenue]])</f>
        <v>0.42824723524756886</v>
      </c>
    </row>
    <row r="626" spans="1:16" x14ac:dyDescent="0.35">
      <c r="A626" t="s">
        <v>697</v>
      </c>
      <c r="B626" s="5" t="s">
        <v>409</v>
      </c>
      <c r="C626" s="5" t="s">
        <v>408</v>
      </c>
      <c r="D626" s="5" t="str">
        <f>"Q"&amp;ROUNDUP(MONTH(B626)/3,0)</f>
        <v>Q2</v>
      </c>
      <c r="E626" t="s">
        <v>23</v>
      </c>
      <c r="F626" t="s">
        <v>56</v>
      </c>
      <c r="G626" t="s">
        <v>39</v>
      </c>
      <c r="H626" t="s">
        <v>45</v>
      </c>
      <c r="I626" t="s">
        <v>8</v>
      </c>
      <c r="J626" s="4">
        <v>6</v>
      </c>
      <c r="K626" s="3">
        <v>961.23</v>
      </c>
      <c r="L626">
        <v>5</v>
      </c>
      <c r="M626" s="2">
        <v>5479.01</v>
      </c>
      <c r="N626" s="2">
        <v>3795.6</v>
      </c>
      <c r="O626" s="2">
        <v>1683.41</v>
      </c>
      <c r="P626" s="1">
        <f>(Sales_Data[[#This Row],[Profit]]/Sales_Data[[#This Row],[Revenue]])</f>
        <v>0.30724711216077355</v>
      </c>
    </row>
    <row r="627" spans="1:16" x14ac:dyDescent="0.35">
      <c r="A627" t="s">
        <v>696</v>
      </c>
      <c r="B627" s="5" t="s">
        <v>417</v>
      </c>
      <c r="C627" s="5" t="s">
        <v>408</v>
      </c>
      <c r="D627" s="5" t="str">
        <f>"Q"&amp;ROUNDUP(MONTH(B627)/3,0)</f>
        <v>Q2</v>
      </c>
      <c r="E627" t="s">
        <v>36</v>
      </c>
      <c r="F627" t="s">
        <v>3</v>
      </c>
      <c r="G627" t="s">
        <v>39</v>
      </c>
      <c r="H627" t="s">
        <v>50</v>
      </c>
      <c r="I627" t="s">
        <v>49</v>
      </c>
      <c r="J627" s="4">
        <v>2</v>
      </c>
      <c r="K627" s="3">
        <v>4288.18</v>
      </c>
      <c r="L627">
        <v>5</v>
      </c>
      <c r="M627" s="2">
        <v>8147.54</v>
      </c>
      <c r="N627" s="2">
        <v>5518.13</v>
      </c>
      <c r="O627" s="2">
        <v>2629.41</v>
      </c>
      <c r="P627" s="1">
        <f>(Sales_Data[[#This Row],[Profit]]/Sales_Data[[#This Row],[Revenue]])</f>
        <v>0.32272440515787587</v>
      </c>
    </row>
    <row r="628" spans="1:16" x14ac:dyDescent="0.35">
      <c r="A628" t="s">
        <v>695</v>
      </c>
      <c r="B628" s="5" t="s">
        <v>426</v>
      </c>
      <c r="C628" s="5" t="s">
        <v>408</v>
      </c>
      <c r="D628" s="5" t="str">
        <f>"Q"&amp;ROUNDUP(MONTH(B628)/3,0)</f>
        <v>Q2</v>
      </c>
      <c r="E628" t="s">
        <v>16</v>
      </c>
      <c r="F628" t="s">
        <v>11</v>
      </c>
      <c r="G628" t="s">
        <v>147</v>
      </c>
      <c r="H628" t="s">
        <v>45</v>
      </c>
      <c r="I628" t="s">
        <v>8</v>
      </c>
      <c r="J628" s="4">
        <v>8</v>
      </c>
      <c r="K628" s="3">
        <v>823.18</v>
      </c>
      <c r="L628">
        <v>5</v>
      </c>
      <c r="M628" s="2">
        <v>6256.17</v>
      </c>
      <c r="N628" s="2">
        <v>3676.7</v>
      </c>
      <c r="O628" s="2">
        <v>2579.4699999999998</v>
      </c>
      <c r="P628" s="1">
        <f>(Sales_Data[[#This Row],[Profit]]/Sales_Data[[#This Row],[Revenue]])</f>
        <v>0.41230816937519277</v>
      </c>
    </row>
    <row r="629" spans="1:16" x14ac:dyDescent="0.35">
      <c r="A629" t="s">
        <v>694</v>
      </c>
      <c r="B629" s="5" t="s">
        <v>399</v>
      </c>
      <c r="C629" s="5" t="s">
        <v>382</v>
      </c>
      <c r="D629" s="5" t="str">
        <f>"Q"&amp;ROUNDUP(MONTH(B629)/3,0)</f>
        <v>Q3</v>
      </c>
      <c r="E629" t="s">
        <v>4</v>
      </c>
      <c r="F629" t="s">
        <v>63</v>
      </c>
      <c r="G629" t="s">
        <v>128</v>
      </c>
      <c r="H629" t="s">
        <v>59</v>
      </c>
      <c r="I629" t="s">
        <v>0</v>
      </c>
      <c r="J629" s="4">
        <v>5</v>
      </c>
      <c r="K629" s="3">
        <v>1482.79</v>
      </c>
      <c r="L629">
        <v>5</v>
      </c>
      <c r="M629" s="2">
        <v>7043.25</v>
      </c>
      <c r="N629" s="2">
        <v>3952.24</v>
      </c>
      <c r="O629" s="2">
        <v>3091.01</v>
      </c>
      <c r="P629" s="1">
        <f>(Sales_Data[[#This Row],[Profit]]/Sales_Data[[#This Row],[Revenue]])</f>
        <v>0.43886132112306114</v>
      </c>
    </row>
    <row r="630" spans="1:16" x14ac:dyDescent="0.35">
      <c r="A630" t="s">
        <v>693</v>
      </c>
      <c r="B630" s="5" t="s">
        <v>692</v>
      </c>
      <c r="C630" s="5" t="s">
        <v>382</v>
      </c>
      <c r="D630" s="5" t="str">
        <f>"Q"&amp;ROUNDUP(MONTH(B630)/3,0)</f>
        <v>Q3</v>
      </c>
      <c r="E630" t="s">
        <v>16</v>
      </c>
      <c r="F630" t="s">
        <v>63</v>
      </c>
      <c r="G630" t="s">
        <v>26</v>
      </c>
      <c r="H630" t="s">
        <v>20</v>
      </c>
      <c r="I630" t="s">
        <v>19</v>
      </c>
      <c r="J630" s="4">
        <v>4</v>
      </c>
      <c r="K630" s="3">
        <v>31.81</v>
      </c>
      <c r="L630">
        <v>5</v>
      </c>
      <c r="M630" s="2">
        <v>120.88</v>
      </c>
      <c r="N630" s="2">
        <v>88.2</v>
      </c>
      <c r="O630" s="2">
        <v>32.68</v>
      </c>
      <c r="P630" s="1">
        <f>(Sales_Data[[#This Row],[Profit]]/Sales_Data[[#This Row],[Revenue]])</f>
        <v>0.27035076108537393</v>
      </c>
    </row>
    <row r="631" spans="1:16" x14ac:dyDescent="0.35">
      <c r="A631" t="s">
        <v>691</v>
      </c>
      <c r="B631" s="5" t="s">
        <v>389</v>
      </c>
      <c r="C631" s="5" t="s">
        <v>382</v>
      </c>
      <c r="D631" s="5" t="str">
        <f>"Q"&amp;ROUNDUP(MONTH(B631)/3,0)</f>
        <v>Q3</v>
      </c>
      <c r="E631" t="s">
        <v>4</v>
      </c>
      <c r="F631" t="s">
        <v>63</v>
      </c>
      <c r="G631" t="s">
        <v>51</v>
      </c>
      <c r="H631" t="s">
        <v>59</v>
      </c>
      <c r="I631" t="s">
        <v>0</v>
      </c>
      <c r="J631" s="4">
        <v>3</v>
      </c>
      <c r="K631" s="3">
        <v>1376.15</v>
      </c>
      <c r="L631">
        <v>5</v>
      </c>
      <c r="M631" s="2">
        <v>3922.03</v>
      </c>
      <c r="N631" s="2">
        <v>2805.57</v>
      </c>
      <c r="O631" s="2">
        <v>1116.46</v>
      </c>
      <c r="P631" s="1">
        <f>(Sales_Data[[#This Row],[Profit]]/Sales_Data[[#This Row],[Revenue]])</f>
        <v>0.28466380930283552</v>
      </c>
    </row>
    <row r="632" spans="1:16" x14ac:dyDescent="0.35">
      <c r="A632" t="s">
        <v>690</v>
      </c>
      <c r="B632" s="5" t="s">
        <v>689</v>
      </c>
      <c r="C632" s="5" t="s">
        <v>382</v>
      </c>
      <c r="D632" s="5" t="str">
        <f>"Q"&amp;ROUNDUP(MONTH(B632)/3,0)</f>
        <v>Q3</v>
      </c>
      <c r="E632" t="s">
        <v>36</v>
      </c>
      <c r="F632" t="s">
        <v>22</v>
      </c>
      <c r="G632" t="s">
        <v>264</v>
      </c>
      <c r="H632" t="s">
        <v>111</v>
      </c>
      <c r="I632" t="s">
        <v>49</v>
      </c>
      <c r="J632" s="4">
        <v>4</v>
      </c>
      <c r="K632" s="3">
        <v>7397.98</v>
      </c>
      <c r="L632">
        <v>5</v>
      </c>
      <c r="M632" s="2">
        <v>28112.32</v>
      </c>
      <c r="N632" s="2">
        <v>16507.91</v>
      </c>
      <c r="O632" s="2">
        <v>11604.41</v>
      </c>
      <c r="P632" s="1">
        <f>(Sales_Data[[#This Row],[Profit]]/Sales_Data[[#This Row],[Revenue]])</f>
        <v>0.41278734732672367</v>
      </c>
    </row>
    <row r="633" spans="1:16" x14ac:dyDescent="0.35">
      <c r="A633" t="s">
        <v>688</v>
      </c>
      <c r="B633" s="5" t="s">
        <v>687</v>
      </c>
      <c r="C633" s="5" t="s">
        <v>382</v>
      </c>
      <c r="D633" s="5" t="str">
        <f>"Q"&amp;ROUNDUP(MONTH(B633)/3,0)</f>
        <v>Q3</v>
      </c>
      <c r="E633" t="s">
        <v>36</v>
      </c>
      <c r="F633" t="s">
        <v>56</v>
      </c>
      <c r="G633" t="s">
        <v>46</v>
      </c>
      <c r="H633" t="s">
        <v>20</v>
      </c>
      <c r="I633" t="s">
        <v>19</v>
      </c>
      <c r="J633" s="4">
        <v>3</v>
      </c>
      <c r="K633" s="3">
        <v>32.659999999999997</v>
      </c>
      <c r="L633">
        <v>5</v>
      </c>
      <c r="M633" s="2">
        <v>93.08</v>
      </c>
      <c r="N633" s="2">
        <v>76.150000000000006</v>
      </c>
      <c r="O633" s="2">
        <v>16.93</v>
      </c>
      <c r="P633" s="1">
        <f>(Sales_Data[[#This Row],[Profit]]/Sales_Data[[#This Row],[Revenue]])</f>
        <v>0.18188654920498495</v>
      </c>
    </row>
    <row r="634" spans="1:16" x14ac:dyDescent="0.35">
      <c r="A634" t="s">
        <v>686</v>
      </c>
      <c r="B634" s="5" t="s">
        <v>401</v>
      </c>
      <c r="C634" s="5" t="s">
        <v>382</v>
      </c>
      <c r="D634" s="5" t="str">
        <f>"Q"&amp;ROUNDUP(MONTH(B634)/3,0)</f>
        <v>Q3</v>
      </c>
      <c r="E634" t="s">
        <v>4</v>
      </c>
      <c r="F634" t="s">
        <v>11</v>
      </c>
      <c r="G634" t="s">
        <v>66</v>
      </c>
      <c r="H634" t="s">
        <v>78</v>
      </c>
      <c r="I634" t="s">
        <v>19</v>
      </c>
      <c r="J634" s="4">
        <v>8</v>
      </c>
      <c r="K634" s="3">
        <v>115.32</v>
      </c>
      <c r="L634">
        <v>5</v>
      </c>
      <c r="M634" s="2">
        <v>876.43</v>
      </c>
      <c r="N634" s="2">
        <v>592.75</v>
      </c>
      <c r="O634" s="2">
        <v>283.68</v>
      </c>
      <c r="P634" s="1">
        <f>(Sales_Data[[#This Row],[Profit]]/Sales_Data[[#This Row],[Revenue]])</f>
        <v>0.32367673402325348</v>
      </c>
    </row>
    <row r="635" spans="1:16" x14ac:dyDescent="0.35">
      <c r="A635" t="s">
        <v>685</v>
      </c>
      <c r="B635" s="5" t="s">
        <v>675</v>
      </c>
      <c r="C635" s="5" t="s">
        <v>382</v>
      </c>
      <c r="D635" s="5" t="str">
        <f>"Q"&amp;ROUNDUP(MONTH(B635)/3,0)</f>
        <v>Q3</v>
      </c>
      <c r="E635" t="s">
        <v>4</v>
      </c>
      <c r="F635" t="s">
        <v>3</v>
      </c>
      <c r="G635" t="s">
        <v>108</v>
      </c>
      <c r="H635" t="s">
        <v>45</v>
      </c>
      <c r="I635" t="s">
        <v>8</v>
      </c>
      <c r="J635" s="4">
        <v>1</v>
      </c>
      <c r="K635" s="3">
        <v>942.03</v>
      </c>
      <c r="L635">
        <v>5</v>
      </c>
      <c r="M635" s="2">
        <v>894.93</v>
      </c>
      <c r="N635" s="2">
        <v>678.32</v>
      </c>
      <c r="O635" s="2">
        <v>216.61</v>
      </c>
      <c r="P635" s="1">
        <f>(Sales_Data[[#This Row],[Profit]]/Sales_Data[[#This Row],[Revenue]])</f>
        <v>0.24204127697138328</v>
      </c>
    </row>
    <row r="636" spans="1:16" x14ac:dyDescent="0.35">
      <c r="A636" t="s">
        <v>684</v>
      </c>
      <c r="B636" s="5" t="s">
        <v>683</v>
      </c>
      <c r="C636" s="5" t="s">
        <v>382</v>
      </c>
      <c r="D636" s="5" t="str">
        <f>"Q"&amp;ROUNDUP(MONTH(B636)/3,0)</f>
        <v>Q3</v>
      </c>
      <c r="E636" t="s">
        <v>4</v>
      </c>
      <c r="F636" t="s">
        <v>3</v>
      </c>
      <c r="G636" t="s">
        <v>124</v>
      </c>
      <c r="H636" t="s">
        <v>14</v>
      </c>
      <c r="I636" t="s">
        <v>8</v>
      </c>
      <c r="J636" s="4">
        <v>3</v>
      </c>
      <c r="K636" s="3">
        <v>2730.15</v>
      </c>
      <c r="L636">
        <v>5</v>
      </c>
      <c r="M636" s="2">
        <v>7780.93</v>
      </c>
      <c r="N636" s="2">
        <v>5911.92</v>
      </c>
      <c r="O636" s="2">
        <v>1869.01</v>
      </c>
      <c r="P636" s="1">
        <f>(Sales_Data[[#This Row],[Profit]]/Sales_Data[[#This Row],[Revenue]])</f>
        <v>0.24020393449112123</v>
      </c>
    </row>
    <row r="637" spans="1:16" x14ac:dyDescent="0.35">
      <c r="A637" t="s">
        <v>682</v>
      </c>
      <c r="B637" s="5" t="s">
        <v>681</v>
      </c>
      <c r="C637" s="5" t="s">
        <v>382</v>
      </c>
      <c r="D637" s="5" t="str">
        <f>"Q"&amp;ROUNDUP(MONTH(B637)/3,0)</f>
        <v>Q3</v>
      </c>
      <c r="E637" t="s">
        <v>4</v>
      </c>
      <c r="F637" t="s">
        <v>11</v>
      </c>
      <c r="G637" t="s">
        <v>104</v>
      </c>
      <c r="H637" t="s">
        <v>50</v>
      </c>
      <c r="I637" t="s">
        <v>49</v>
      </c>
      <c r="J637" s="4">
        <v>8</v>
      </c>
      <c r="K637" s="3">
        <v>4235.08</v>
      </c>
      <c r="L637">
        <v>5</v>
      </c>
      <c r="M637" s="2">
        <v>32186.61</v>
      </c>
      <c r="N637" s="2">
        <v>21475.35</v>
      </c>
      <c r="O637" s="2">
        <v>10711.26</v>
      </c>
      <c r="P637" s="1">
        <f>(Sales_Data[[#This Row],[Profit]]/Sales_Data[[#This Row],[Revenue]])</f>
        <v>0.33278621140903003</v>
      </c>
    </row>
    <row r="638" spans="1:16" x14ac:dyDescent="0.35">
      <c r="A638" t="s">
        <v>680</v>
      </c>
      <c r="B638" s="5" t="s">
        <v>679</v>
      </c>
      <c r="C638" s="5" t="s">
        <v>382</v>
      </c>
      <c r="D638" s="5" t="str">
        <f>"Q"&amp;ROUNDUP(MONTH(B638)/3,0)</f>
        <v>Q3</v>
      </c>
      <c r="E638" t="s">
        <v>36</v>
      </c>
      <c r="F638" t="s">
        <v>52</v>
      </c>
      <c r="G638" t="s">
        <v>214</v>
      </c>
      <c r="H638" t="s">
        <v>9</v>
      </c>
      <c r="I638" t="s">
        <v>8</v>
      </c>
      <c r="J638" s="4">
        <v>1</v>
      </c>
      <c r="K638" s="3">
        <v>55663.48</v>
      </c>
      <c r="L638">
        <v>5</v>
      </c>
      <c r="M638" s="2">
        <v>52880.31</v>
      </c>
      <c r="N638" s="2">
        <v>29532.16</v>
      </c>
      <c r="O638" s="2">
        <v>23348.15</v>
      </c>
      <c r="P638" s="1">
        <f>(Sales_Data[[#This Row],[Profit]]/Sales_Data[[#This Row],[Revenue]])</f>
        <v>0.44152823612418313</v>
      </c>
    </row>
    <row r="639" spans="1:16" x14ac:dyDescent="0.35">
      <c r="A639" t="s">
        <v>678</v>
      </c>
      <c r="B639" s="5" t="s">
        <v>387</v>
      </c>
      <c r="C639" s="5" t="s">
        <v>382</v>
      </c>
      <c r="D639" s="5" t="str">
        <f>"Q"&amp;ROUNDUP(MONTH(B639)/3,0)</f>
        <v>Q3</v>
      </c>
      <c r="E639" t="s">
        <v>16</v>
      </c>
      <c r="F639" t="s">
        <v>3</v>
      </c>
      <c r="G639" t="s">
        <v>85</v>
      </c>
      <c r="H639" t="s">
        <v>78</v>
      </c>
      <c r="I639" t="s">
        <v>19</v>
      </c>
      <c r="J639" s="4">
        <v>4</v>
      </c>
      <c r="K639" s="3">
        <v>122.36</v>
      </c>
      <c r="L639">
        <v>5</v>
      </c>
      <c r="M639" s="2">
        <v>464.97</v>
      </c>
      <c r="N639" s="2">
        <v>333.78</v>
      </c>
      <c r="O639" s="2">
        <v>131.19</v>
      </c>
      <c r="P639" s="1">
        <f>(Sales_Data[[#This Row],[Profit]]/Sales_Data[[#This Row],[Revenue]])</f>
        <v>0.28214723530550356</v>
      </c>
    </row>
    <row r="640" spans="1:16" x14ac:dyDescent="0.35">
      <c r="A640" t="s">
        <v>677</v>
      </c>
      <c r="B640" s="5" t="s">
        <v>383</v>
      </c>
      <c r="C640" s="5" t="s">
        <v>382</v>
      </c>
      <c r="D640" s="5" t="str">
        <f>"Q"&amp;ROUNDUP(MONTH(B640)/3,0)</f>
        <v>Q3</v>
      </c>
      <c r="E640" t="s">
        <v>36</v>
      </c>
      <c r="F640" t="s">
        <v>52</v>
      </c>
      <c r="G640" t="s">
        <v>112</v>
      </c>
      <c r="H640" t="s">
        <v>9</v>
      </c>
      <c r="I640" t="s">
        <v>8</v>
      </c>
      <c r="J640" s="4">
        <v>4</v>
      </c>
      <c r="K640" s="3">
        <v>56076.73</v>
      </c>
      <c r="L640">
        <v>5</v>
      </c>
      <c r="M640" s="2">
        <v>213091.57</v>
      </c>
      <c r="N640" s="2">
        <v>149046.57</v>
      </c>
      <c r="O640" s="2">
        <v>64045</v>
      </c>
      <c r="P640" s="1">
        <f>(Sales_Data[[#This Row],[Profit]]/Sales_Data[[#This Row],[Revenue]])</f>
        <v>0.3005515422313515</v>
      </c>
    </row>
    <row r="641" spans="1:16" x14ac:dyDescent="0.35">
      <c r="A641" t="s">
        <v>676</v>
      </c>
      <c r="B641" s="5" t="s">
        <v>675</v>
      </c>
      <c r="C641" s="5" t="s">
        <v>382</v>
      </c>
      <c r="D641" s="5" t="str">
        <f>"Q"&amp;ROUNDUP(MONTH(B641)/3,0)</f>
        <v>Q3</v>
      </c>
      <c r="E641" t="s">
        <v>16</v>
      </c>
      <c r="F641" t="s">
        <v>22</v>
      </c>
      <c r="G641" t="s">
        <v>104</v>
      </c>
      <c r="H641" t="s">
        <v>9</v>
      </c>
      <c r="I641" t="s">
        <v>8</v>
      </c>
      <c r="J641" s="4">
        <v>5</v>
      </c>
      <c r="K641" s="3">
        <v>62912.95</v>
      </c>
      <c r="L641">
        <v>5</v>
      </c>
      <c r="M641" s="2">
        <v>298836.51</v>
      </c>
      <c r="N641" s="2">
        <v>177851.97</v>
      </c>
      <c r="O641" s="2">
        <v>120984.54</v>
      </c>
      <c r="P641" s="1">
        <f>(Sales_Data[[#This Row],[Profit]]/Sales_Data[[#This Row],[Revenue]])</f>
        <v>0.40485193726830765</v>
      </c>
    </row>
    <row r="642" spans="1:16" x14ac:dyDescent="0.35">
      <c r="A642" t="s">
        <v>674</v>
      </c>
      <c r="B642" s="5" t="s">
        <v>672</v>
      </c>
      <c r="C642" s="5" t="s">
        <v>382</v>
      </c>
      <c r="D642" s="5" t="str">
        <f>"Q"&amp;ROUNDUP(MONTH(B642)/3,0)</f>
        <v>Q3</v>
      </c>
      <c r="E642" t="s">
        <v>4</v>
      </c>
      <c r="F642" t="s">
        <v>3</v>
      </c>
      <c r="G642" t="s">
        <v>159</v>
      </c>
      <c r="H642" t="s">
        <v>34</v>
      </c>
      <c r="I642" t="s">
        <v>8</v>
      </c>
      <c r="J642" s="4">
        <v>6</v>
      </c>
      <c r="K642" s="3">
        <v>23437.08</v>
      </c>
      <c r="L642">
        <v>5</v>
      </c>
      <c r="M642" s="2">
        <v>133591.35999999999</v>
      </c>
      <c r="N642" s="2">
        <v>93300.99</v>
      </c>
      <c r="O642" s="2">
        <v>40290.370000000003</v>
      </c>
      <c r="P642" s="1">
        <f>(Sales_Data[[#This Row],[Profit]]/Sales_Data[[#This Row],[Revenue]])</f>
        <v>0.30159413003954749</v>
      </c>
    </row>
    <row r="643" spans="1:16" x14ac:dyDescent="0.35">
      <c r="A643" t="s">
        <v>673</v>
      </c>
      <c r="B643" s="5" t="s">
        <v>672</v>
      </c>
      <c r="C643" s="5" t="s">
        <v>382</v>
      </c>
      <c r="D643" s="5" t="str">
        <f>"Q"&amp;ROUNDUP(MONTH(B643)/3,0)</f>
        <v>Q3</v>
      </c>
      <c r="E643" t="s">
        <v>23</v>
      </c>
      <c r="F643" t="s">
        <v>3</v>
      </c>
      <c r="G643" t="s">
        <v>142</v>
      </c>
      <c r="H643" t="s">
        <v>9</v>
      </c>
      <c r="I643" t="s">
        <v>8</v>
      </c>
      <c r="J643" s="4">
        <v>8</v>
      </c>
      <c r="K643" s="3">
        <v>57934.99</v>
      </c>
      <c r="L643">
        <v>5</v>
      </c>
      <c r="M643" s="2">
        <v>440305.91999999998</v>
      </c>
      <c r="N643" s="2">
        <v>349726.59</v>
      </c>
      <c r="O643" s="2">
        <v>90579.33</v>
      </c>
      <c r="P643" s="1">
        <f>(Sales_Data[[#This Row],[Profit]]/Sales_Data[[#This Row],[Revenue]])</f>
        <v>0.20571908276863504</v>
      </c>
    </row>
    <row r="644" spans="1:16" x14ac:dyDescent="0.35">
      <c r="A644" t="s">
        <v>671</v>
      </c>
      <c r="B644" s="5" t="s">
        <v>670</v>
      </c>
      <c r="C644" s="5" t="s">
        <v>382</v>
      </c>
      <c r="D644" s="5" t="str">
        <f>"Q"&amp;ROUNDUP(MONTH(B644)/3,0)</f>
        <v>Q3</v>
      </c>
      <c r="E644" t="s">
        <v>4</v>
      </c>
      <c r="F644" t="s">
        <v>22</v>
      </c>
      <c r="G644" t="s">
        <v>101</v>
      </c>
      <c r="H644" t="s">
        <v>9</v>
      </c>
      <c r="I644" t="s">
        <v>8</v>
      </c>
      <c r="J644" s="4">
        <v>1</v>
      </c>
      <c r="K644" s="3">
        <v>65519.01</v>
      </c>
      <c r="L644">
        <v>5</v>
      </c>
      <c r="M644" s="2">
        <v>62243.06</v>
      </c>
      <c r="N644" s="2">
        <v>44805.19</v>
      </c>
      <c r="O644" s="2">
        <v>17437.87</v>
      </c>
      <c r="P644" s="1">
        <f>(Sales_Data[[#This Row],[Profit]]/Sales_Data[[#This Row],[Revenue]])</f>
        <v>0.28015765934386899</v>
      </c>
    </row>
    <row r="645" spans="1:16" x14ac:dyDescent="0.35">
      <c r="A645" t="s">
        <v>669</v>
      </c>
      <c r="B645" s="5" t="s">
        <v>668</v>
      </c>
      <c r="C645" s="5" t="s">
        <v>382</v>
      </c>
      <c r="D645" s="5" t="str">
        <f>"Q"&amp;ROUNDUP(MONTH(B645)/3,0)</f>
        <v>Q3</v>
      </c>
      <c r="E645" t="s">
        <v>36</v>
      </c>
      <c r="F645" t="s">
        <v>22</v>
      </c>
      <c r="G645" t="s">
        <v>26</v>
      </c>
      <c r="H645" t="s">
        <v>59</v>
      </c>
      <c r="I645" t="s">
        <v>0</v>
      </c>
      <c r="J645" s="4">
        <v>1</v>
      </c>
      <c r="K645" s="3">
        <v>1539.54</v>
      </c>
      <c r="L645">
        <v>5</v>
      </c>
      <c r="M645" s="2">
        <v>1462.56</v>
      </c>
      <c r="N645" s="2">
        <v>1070.74</v>
      </c>
      <c r="O645" s="2">
        <v>391.82</v>
      </c>
      <c r="P645" s="1">
        <f>(Sales_Data[[#This Row],[Profit]]/Sales_Data[[#This Row],[Revenue]])</f>
        <v>0.26790012033694344</v>
      </c>
    </row>
    <row r="646" spans="1:16" x14ac:dyDescent="0.35">
      <c r="A646" t="s">
        <v>667</v>
      </c>
      <c r="B646" s="5" t="s">
        <v>357</v>
      </c>
      <c r="C646" s="5" t="s">
        <v>350</v>
      </c>
      <c r="D646" s="5" t="str">
        <f>"Q"&amp;ROUNDUP(MONTH(B646)/3,0)</f>
        <v>Q4</v>
      </c>
      <c r="E646" t="s">
        <v>4</v>
      </c>
      <c r="F646" t="s">
        <v>22</v>
      </c>
      <c r="G646" t="s">
        <v>147</v>
      </c>
      <c r="H646" t="s">
        <v>45</v>
      </c>
      <c r="I646" t="s">
        <v>8</v>
      </c>
      <c r="J646" s="4">
        <v>3</v>
      </c>
      <c r="K646" s="3">
        <v>856.38</v>
      </c>
      <c r="L646">
        <v>5</v>
      </c>
      <c r="M646" s="2">
        <v>2440.6799999999998</v>
      </c>
      <c r="N646" s="2">
        <v>1704.51</v>
      </c>
      <c r="O646" s="2">
        <v>736.17</v>
      </c>
      <c r="P646" s="1">
        <f>(Sales_Data[[#This Row],[Profit]]/Sales_Data[[#This Row],[Revenue]])</f>
        <v>0.3016249569792025</v>
      </c>
    </row>
    <row r="647" spans="1:16" x14ac:dyDescent="0.35">
      <c r="A647" t="s">
        <v>666</v>
      </c>
      <c r="B647" s="5" t="s">
        <v>644</v>
      </c>
      <c r="C647" s="5" t="s">
        <v>350</v>
      </c>
      <c r="D647" s="5" t="str">
        <f>"Q"&amp;ROUNDUP(MONTH(B647)/3,0)</f>
        <v>Q4</v>
      </c>
      <c r="E647" t="s">
        <v>16</v>
      </c>
      <c r="F647" t="s">
        <v>56</v>
      </c>
      <c r="G647" t="s">
        <v>118</v>
      </c>
      <c r="H647" t="s">
        <v>1</v>
      </c>
      <c r="I647" t="s">
        <v>0</v>
      </c>
      <c r="J647" s="4">
        <v>7</v>
      </c>
      <c r="K647" s="3">
        <v>535.79999999999995</v>
      </c>
      <c r="L647">
        <v>5</v>
      </c>
      <c r="M647" s="2">
        <v>3563.07</v>
      </c>
      <c r="N647" s="2">
        <v>2950.76</v>
      </c>
      <c r="O647" s="2">
        <v>612.30999999999995</v>
      </c>
      <c r="P647" s="1">
        <f>(Sales_Data[[#This Row],[Profit]]/Sales_Data[[#This Row],[Revenue]])</f>
        <v>0.17184899538880793</v>
      </c>
    </row>
    <row r="648" spans="1:16" x14ac:dyDescent="0.35">
      <c r="A648" t="s">
        <v>665</v>
      </c>
      <c r="B648" s="5" t="s">
        <v>361</v>
      </c>
      <c r="C648" s="5" t="s">
        <v>350</v>
      </c>
      <c r="D648" s="5" t="str">
        <f>"Q"&amp;ROUNDUP(MONTH(B648)/3,0)</f>
        <v>Q4</v>
      </c>
      <c r="E648" t="s">
        <v>16</v>
      </c>
      <c r="F648" t="s">
        <v>22</v>
      </c>
      <c r="G648" t="s">
        <v>166</v>
      </c>
      <c r="H648" t="s">
        <v>20</v>
      </c>
      <c r="I648" t="s">
        <v>19</v>
      </c>
      <c r="J648" s="4">
        <v>1</v>
      </c>
      <c r="K648" s="3">
        <v>27.39</v>
      </c>
      <c r="L648">
        <v>5</v>
      </c>
      <c r="M648" s="2">
        <v>26.02</v>
      </c>
      <c r="N648" s="2">
        <v>19.04</v>
      </c>
      <c r="O648" s="2">
        <v>6.98</v>
      </c>
      <c r="P648" s="1">
        <f>(Sales_Data[[#This Row],[Profit]]/Sales_Data[[#This Row],[Revenue]])</f>
        <v>0.26825518831667949</v>
      </c>
    </row>
    <row r="649" spans="1:16" x14ac:dyDescent="0.35">
      <c r="A649" t="s">
        <v>664</v>
      </c>
      <c r="B649" s="5" t="s">
        <v>359</v>
      </c>
      <c r="C649" s="5" t="s">
        <v>350</v>
      </c>
      <c r="D649" s="5" t="str">
        <f>"Q"&amp;ROUNDUP(MONTH(B649)/3,0)</f>
        <v>Q4</v>
      </c>
      <c r="E649" t="s">
        <v>36</v>
      </c>
      <c r="F649" t="s">
        <v>22</v>
      </c>
      <c r="G649" t="s">
        <v>95</v>
      </c>
      <c r="H649" t="s">
        <v>9</v>
      </c>
      <c r="I649" t="s">
        <v>8</v>
      </c>
      <c r="J649" s="4">
        <v>7</v>
      </c>
      <c r="K649" s="3">
        <v>56001.120000000003</v>
      </c>
      <c r="L649">
        <v>5</v>
      </c>
      <c r="M649" s="2">
        <v>372407.45</v>
      </c>
      <c r="N649" s="2">
        <v>255847.03</v>
      </c>
      <c r="O649" s="2">
        <v>116560.42</v>
      </c>
      <c r="P649" s="1">
        <f>(Sales_Data[[#This Row],[Profit]]/Sales_Data[[#This Row],[Revenue]])</f>
        <v>0.31299164396415807</v>
      </c>
    </row>
    <row r="650" spans="1:16" x14ac:dyDescent="0.35">
      <c r="A650" t="s">
        <v>663</v>
      </c>
      <c r="B650" s="5" t="s">
        <v>363</v>
      </c>
      <c r="C650" s="5" t="s">
        <v>350</v>
      </c>
      <c r="D650" s="5" t="str">
        <f>"Q"&amp;ROUNDUP(MONTH(B650)/3,0)</f>
        <v>Q4</v>
      </c>
      <c r="E650" t="s">
        <v>36</v>
      </c>
      <c r="F650" t="s">
        <v>52</v>
      </c>
      <c r="G650" t="s">
        <v>124</v>
      </c>
      <c r="H650" t="s">
        <v>78</v>
      </c>
      <c r="I650" t="s">
        <v>19</v>
      </c>
      <c r="J650" s="4">
        <v>7</v>
      </c>
      <c r="K650" s="3">
        <v>118.7</v>
      </c>
      <c r="L650">
        <v>5</v>
      </c>
      <c r="M650" s="2">
        <v>789.35</v>
      </c>
      <c r="N650" s="2">
        <v>552.08000000000004</v>
      </c>
      <c r="O650" s="2">
        <v>237.27</v>
      </c>
      <c r="P650" s="1">
        <f>(Sales_Data[[#This Row],[Profit]]/Sales_Data[[#This Row],[Revenue]])</f>
        <v>0.30058909229112563</v>
      </c>
    </row>
    <row r="651" spans="1:16" x14ac:dyDescent="0.35">
      <c r="A651" t="s">
        <v>662</v>
      </c>
      <c r="B651" s="5" t="s">
        <v>661</v>
      </c>
      <c r="C651" s="5" t="s">
        <v>350</v>
      </c>
      <c r="D651" s="5" t="str">
        <f>"Q"&amp;ROUNDUP(MONTH(B651)/3,0)</f>
        <v>Q4</v>
      </c>
      <c r="E651" t="s">
        <v>4</v>
      </c>
      <c r="F651" t="s">
        <v>56</v>
      </c>
      <c r="G651" t="s">
        <v>51</v>
      </c>
      <c r="H651" t="s">
        <v>20</v>
      </c>
      <c r="I651" t="s">
        <v>19</v>
      </c>
      <c r="J651" s="4">
        <v>8</v>
      </c>
      <c r="K651" s="3">
        <v>31.66</v>
      </c>
      <c r="L651">
        <v>5</v>
      </c>
      <c r="M651" s="2">
        <v>240.62</v>
      </c>
      <c r="N651" s="2">
        <v>204.11</v>
      </c>
      <c r="O651" s="2">
        <v>36.51</v>
      </c>
      <c r="P651" s="1">
        <f>(Sales_Data[[#This Row],[Profit]]/Sales_Data[[#This Row],[Revenue]])</f>
        <v>0.15173302302385502</v>
      </c>
    </row>
    <row r="652" spans="1:16" x14ac:dyDescent="0.35">
      <c r="A652" t="s">
        <v>660</v>
      </c>
      <c r="B652" s="5" t="s">
        <v>659</v>
      </c>
      <c r="C652" s="5" t="s">
        <v>350</v>
      </c>
      <c r="D652" s="5" t="str">
        <f>"Q"&amp;ROUNDUP(MONTH(B652)/3,0)</f>
        <v>Q4</v>
      </c>
      <c r="E652" t="s">
        <v>23</v>
      </c>
      <c r="F652" t="s">
        <v>56</v>
      </c>
      <c r="G652" t="s">
        <v>150</v>
      </c>
      <c r="H652" t="s">
        <v>50</v>
      </c>
      <c r="I652" t="s">
        <v>49</v>
      </c>
      <c r="J652" s="4">
        <v>8</v>
      </c>
      <c r="K652" s="3">
        <v>4433.74</v>
      </c>
      <c r="L652">
        <v>5</v>
      </c>
      <c r="M652" s="2">
        <v>33696.42</v>
      </c>
      <c r="N652" s="2">
        <v>25089.85</v>
      </c>
      <c r="O652" s="2">
        <v>8606.57</v>
      </c>
      <c r="P652" s="1">
        <f>(Sales_Data[[#This Row],[Profit]]/Sales_Data[[#This Row],[Revenue]])</f>
        <v>0.25541496693120513</v>
      </c>
    </row>
    <row r="653" spans="1:16" x14ac:dyDescent="0.35">
      <c r="A653" t="s">
        <v>658</v>
      </c>
      <c r="B653" s="5" t="s">
        <v>372</v>
      </c>
      <c r="C653" s="5" t="s">
        <v>350</v>
      </c>
      <c r="D653" s="5" t="str">
        <f>"Q"&amp;ROUNDUP(MONTH(B653)/3,0)</f>
        <v>Q4</v>
      </c>
      <c r="E653" t="s">
        <v>4</v>
      </c>
      <c r="F653" t="s">
        <v>63</v>
      </c>
      <c r="G653" t="s">
        <v>220</v>
      </c>
      <c r="H653" t="s">
        <v>50</v>
      </c>
      <c r="I653" t="s">
        <v>49</v>
      </c>
      <c r="J653" s="4">
        <v>2</v>
      </c>
      <c r="K653" s="3">
        <v>4706.66</v>
      </c>
      <c r="L653">
        <v>5</v>
      </c>
      <c r="M653" s="2">
        <v>8942.65</v>
      </c>
      <c r="N653" s="2">
        <v>5639.02</v>
      </c>
      <c r="O653" s="2">
        <v>3303.63</v>
      </c>
      <c r="P653" s="1">
        <f>(Sales_Data[[#This Row],[Profit]]/Sales_Data[[#This Row],[Revenue]])</f>
        <v>0.3694240521545627</v>
      </c>
    </row>
    <row r="654" spans="1:16" x14ac:dyDescent="0.35">
      <c r="A654" t="s">
        <v>657</v>
      </c>
      <c r="B654" s="5" t="s">
        <v>656</v>
      </c>
      <c r="C654" s="5" t="s">
        <v>350</v>
      </c>
      <c r="D654" s="5" t="str">
        <f>"Q"&amp;ROUNDUP(MONTH(B654)/3,0)</f>
        <v>Q4</v>
      </c>
      <c r="E654" t="s">
        <v>23</v>
      </c>
      <c r="F654" t="s">
        <v>3</v>
      </c>
      <c r="G654" t="s">
        <v>51</v>
      </c>
      <c r="H654" t="s">
        <v>9</v>
      </c>
      <c r="I654" t="s">
        <v>8</v>
      </c>
      <c r="J654" s="4">
        <v>8</v>
      </c>
      <c r="K654" s="3">
        <v>59946.42</v>
      </c>
      <c r="L654">
        <v>5</v>
      </c>
      <c r="M654" s="2">
        <v>455592.79</v>
      </c>
      <c r="N654" s="2">
        <v>274407.37</v>
      </c>
      <c r="O654" s="2">
        <v>181185.42</v>
      </c>
      <c r="P654" s="1">
        <f>(Sales_Data[[#This Row],[Profit]]/Sales_Data[[#This Row],[Revenue]])</f>
        <v>0.39769158770049901</v>
      </c>
    </row>
    <row r="655" spans="1:16" x14ac:dyDescent="0.35">
      <c r="A655" t="s">
        <v>655</v>
      </c>
      <c r="B655" s="5" t="s">
        <v>654</v>
      </c>
      <c r="C655" s="5" t="s">
        <v>350</v>
      </c>
      <c r="D655" s="5" t="str">
        <f>"Q"&amp;ROUNDUP(MONTH(B655)/3,0)</f>
        <v>Q4</v>
      </c>
      <c r="E655" t="s">
        <v>4</v>
      </c>
      <c r="F655" t="s">
        <v>52</v>
      </c>
      <c r="G655" t="s">
        <v>35</v>
      </c>
      <c r="H655" t="s">
        <v>111</v>
      </c>
      <c r="I655" t="s">
        <v>49</v>
      </c>
      <c r="J655" s="4">
        <v>3</v>
      </c>
      <c r="K655" s="3">
        <v>8709.27</v>
      </c>
      <c r="L655">
        <v>5</v>
      </c>
      <c r="M655" s="2">
        <v>24821.42</v>
      </c>
      <c r="N655" s="2">
        <v>19082.599999999999</v>
      </c>
      <c r="O655" s="2">
        <v>5738.82</v>
      </c>
      <c r="P655" s="1">
        <f>(Sales_Data[[#This Row],[Profit]]/Sales_Data[[#This Row],[Revenue]])</f>
        <v>0.23120433883315297</v>
      </c>
    </row>
    <row r="656" spans="1:16" x14ac:dyDescent="0.35">
      <c r="A656" t="s">
        <v>653</v>
      </c>
      <c r="B656" s="5" t="s">
        <v>353</v>
      </c>
      <c r="C656" s="5" t="s">
        <v>350</v>
      </c>
      <c r="D656" s="5" t="str">
        <f>"Q"&amp;ROUNDUP(MONTH(B656)/3,0)</f>
        <v>Q4</v>
      </c>
      <c r="E656" t="s">
        <v>16</v>
      </c>
      <c r="F656" t="s">
        <v>22</v>
      </c>
      <c r="G656" t="s">
        <v>191</v>
      </c>
      <c r="H656" t="s">
        <v>20</v>
      </c>
      <c r="I656" t="s">
        <v>19</v>
      </c>
      <c r="J656" s="4">
        <v>3</v>
      </c>
      <c r="K656" s="3">
        <v>30.29</v>
      </c>
      <c r="L656">
        <v>5</v>
      </c>
      <c r="M656" s="2">
        <v>86.33</v>
      </c>
      <c r="N656" s="2">
        <v>73.150000000000006</v>
      </c>
      <c r="O656" s="2">
        <v>13.18</v>
      </c>
      <c r="P656" s="1">
        <f>(Sales_Data[[#This Row],[Profit]]/Sales_Data[[#This Row],[Revenue]])</f>
        <v>0.15266998725819531</v>
      </c>
    </row>
    <row r="657" spans="1:16" x14ac:dyDescent="0.35">
      <c r="A657" t="s">
        <v>652</v>
      </c>
      <c r="B657" s="5" t="s">
        <v>367</v>
      </c>
      <c r="C657" s="5" t="s">
        <v>350</v>
      </c>
      <c r="D657" s="5" t="str">
        <f>"Q"&amp;ROUNDUP(MONTH(B657)/3,0)</f>
        <v>Q4</v>
      </c>
      <c r="E657" t="s">
        <v>36</v>
      </c>
      <c r="F657" t="s">
        <v>63</v>
      </c>
      <c r="G657" t="s">
        <v>174</v>
      </c>
      <c r="H657" t="s">
        <v>59</v>
      </c>
      <c r="I657" t="s">
        <v>0</v>
      </c>
      <c r="J657" s="4">
        <v>6</v>
      </c>
      <c r="K657" s="3">
        <v>1486.04</v>
      </c>
      <c r="L657">
        <v>5</v>
      </c>
      <c r="M657" s="2">
        <v>8470.43</v>
      </c>
      <c r="N657" s="2">
        <v>6610.69</v>
      </c>
      <c r="O657" s="2">
        <v>1859.74</v>
      </c>
      <c r="P657" s="1">
        <f>(Sales_Data[[#This Row],[Profit]]/Sales_Data[[#This Row],[Revenue]])</f>
        <v>0.21955674033077424</v>
      </c>
    </row>
    <row r="658" spans="1:16" x14ac:dyDescent="0.35">
      <c r="A658" t="s">
        <v>651</v>
      </c>
      <c r="B658" s="5" t="s">
        <v>650</v>
      </c>
      <c r="C658" s="5" t="s">
        <v>350</v>
      </c>
      <c r="D658" s="5" t="str">
        <f>"Q"&amp;ROUNDUP(MONTH(B658)/3,0)</f>
        <v>Q4</v>
      </c>
      <c r="E658" t="s">
        <v>16</v>
      </c>
      <c r="F658" t="s">
        <v>56</v>
      </c>
      <c r="G658" t="s">
        <v>128</v>
      </c>
      <c r="H658" t="s">
        <v>20</v>
      </c>
      <c r="I658" t="s">
        <v>19</v>
      </c>
      <c r="J658" s="4">
        <v>3</v>
      </c>
      <c r="K658" s="3">
        <v>31.75</v>
      </c>
      <c r="L658">
        <v>5</v>
      </c>
      <c r="M658" s="2">
        <v>90.49</v>
      </c>
      <c r="N658" s="2">
        <v>58.28</v>
      </c>
      <c r="O658" s="2">
        <v>32.21</v>
      </c>
      <c r="P658" s="1">
        <f>(Sales_Data[[#This Row],[Profit]]/Sales_Data[[#This Row],[Revenue]])</f>
        <v>0.35595093380484033</v>
      </c>
    </row>
    <row r="659" spans="1:16" x14ac:dyDescent="0.35">
      <c r="A659" t="s">
        <v>649</v>
      </c>
      <c r="B659" s="5" t="s">
        <v>648</v>
      </c>
      <c r="C659" s="5" t="s">
        <v>350</v>
      </c>
      <c r="D659" s="5" t="str">
        <f>"Q"&amp;ROUNDUP(MONTH(B659)/3,0)</f>
        <v>Q4</v>
      </c>
      <c r="E659" t="s">
        <v>36</v>
      </c>
      <c r="F659" t="s">
        <v>56</v>
      </c>
      <c r="G659" t="s">
        <v>166</v>
      </c>
      <c r="H659" t="s">
        <v>45</v>
      </c>
      <c r="I659" t="s">
        <v>8</v>
      </c>
      <c r="J659" s="4">
        <v>1</v>
      </c>
      <c r="K659" s="3">
        <v>975.19</v>
      </c>
      <c r="L659">
        <v>5</v>
      </c>
      <c r="M659" s="2">
        <v>926.43</v>
      </c>
      <c r="N659" s="2">
        <v>696.94</v>
      </c>
      <c r="O659" s="2">
        <v>229.49</v>
      </c>
      <c r="P659" s="1">
        <f>(Sales_Data[[#This Row],[Profit]]/Sales_Data[[#This Row],[Revenue]])</f>
        <v>0.24771434431095715</v>
      </c>
    </row>
    <row r="660" spans="1:16" x14ac:dyDescent="0.35">
      <c r="A660" t="s">
        <v>647</v>
      </c>
      <c r="B660" s="5" t="s">
        <v>361</v>
      </c>
      <c r="C660" s="5" t="s">
        <v>350</v>
      </c>
      <c r="D660" s="5" t="str">
        <f>"Q"&amp;ROUNDUP(MONTH(B660)/3,0)</f>
        <v>Q4</v>
      </c>
      <c r="E660" t="s">
        <v>36</v>
      </c>
      <c r="F660" t="s">
        <v>22</v>
      </c>
      <c r="G660" t="s">
        <v>294</v>
      </c>
      <c r="H660" t="s">
        <v>14</v>
      </c>
      <c r="I660" t="s">
        <v>8</v>
      </c>
      <c r="J660" s="4">
        <v>8</v>
      </c>
      <c r="K660" s="3">
        <v>2627.24</v>
      </c>
      <c r="L660">
        <v>5</v>
      </c>
      <c r="M660" s="2">
        <v>19967.02</v>
      </c>
      <c r="N660" s="2">
        <v>13274.15</v>
      </c>
      <c r="O660" s="2">
        <v>6692.87</v>
      </c>
      <c r="P660" s="1">
        <f>(Sales_Data[[#This Row],[Profit]]/Sales_Data[[#This Row],[Revenue]])</f>
        <v>0.33519623859744718</v>
      </c>
    </row>
    <row r="661" spans="1:16" x14ac:dyDescent="0.35">
      <c r="A661" t="s">
        <v>646</v>
      </c>
      <c r="B661" s="5" t="s">
        <v>353</v>
      </c>
      <c r="C661" s="5" t="s">
        <v>350</v>
      </c>
      <c r="D661" s="5" t="str">
        <f>"Q"&amp;ROUNDUP(MONTH(B661)/3,0)</f>
        <v>Q4</v>
      </c>
      <c r="E661" t="s">
        <v>23</v>
      </c>
      <c r="F661" t="s">
        <v>3</v>
      </c>
      <c r="G661" t="s">
        <v>369</v>
      </c>
      <c r="H661" t="s">
        <v>45</v>
      </c>
      <c r="I661" t="s">
        <v>8</v>
      </c>
      <c r="J661" s="4">
        <v>7</v>
      </c>
      <c r="K661" s="3">
        <v>904.03</v>
      </c>
      <c r="L661">
        <v>5</v>
      </c>
      <c r="M661" s="2">
        <v>6011.8</v>
      </c>
      <c r="N661" s="2">
        <v>4767.1400000000003</v>
      </c>
      <c r="O661" s="2">
        <v>1244.6600000000001</v>
      </c>
      <c r="P661" s="1">
        <f>(Sales_Data[[#This Row],[Profit]]/Sales_Data[[#This Row],[Revenue]])</f>
        <v>0.20703616221431187</v>
      </c>
    </row>
    <row r="662" spans="1:16" x14ac:dyDescent="0.35">
      <c r="A662" t="s">
        <v>645</v>
      </c>
      <c r="B662" s="5" t="s">
        <v>644</v>
      </c>
      <c r="C662" s="5" t="s">
        <v>350</v>
      </c>
      <c r="D662" s="5" t="str">
        <f>"Q"&amp;ROUNDUP(MONTH(B662)/3,0)</f>
        <v>Q4</v>
      </c>
      <c r="E662" t="s">
        <v>23</v>
      </c>
      <c r="F662" t="s">
        <v>63</v>
      </c>
      <c r="G662" t="s">
        <v>147</v>
      </c>
      <c r="H662" t="s">
        <v>59</v>
      </c>
      <c r="I662" t="s">
        <v>0</v>
      </c>
      <c r="J662" s="4">
        <v>7</v>
      </c>
      <c r="K662" s="3">
        <v>1561.69</v>
      </c>
      <c r="L662">
        <v>5</v>
      </c>
      <c r="M662" s="2">
        <v>10385.24</v>
      </c>
      <c r="N662" s="2">
        <v>8801.9599999999991</v>
      </c>
      <c r="O662" s="2">
        <v>1583.28</v>
      </c>
      <c r="P662" s="1">
        <f>(Sales_Data[[#This Row],[Profit]]/Sales_Data[[#This Row],[Revenue]])</f>
        <v>0.15245483012429178</v>
      </c>
    </row>
    <row r="663" spans="1:16" x14ac:dyDescent="0.35">
      <c r="A663" t="s">
        <v>643</v>
      </c>
      <c r="B663" s="5" t="s">
        <v>642</v>
      </c>
      <c r="C663" s="5" t="s">
        <v>310</v>
      </c>
      <c r="D663" s="5" t="str">
        <f>"Q"&amp;ROUNDUP(MONTH(B663)/3,0)</f>
        <v>Q1</v>
      </c>
      <c r="E663" t="s">
        <v>16</v>
      </c>
      <c r="F663" t="s">
        <v>11</v>
      </c>
      <c r="G663" t="s">
        <v>220</v>
      </c>
      <c r="H663" t="s">
        <v>78</v>
      </c>
      <c r="I663" t="s">
        <v>19</v>
      </c>
      <c r="J663" s="4">
        <v>2</v>
      </c>
      <c r="K663" s="3">
        <v>116.67</v>
      </c>
      <c r="L663">
        <v>5</v>
      </c>
      <c r="M663" s="2">
        <v>221.67</v>
      </c>
      <c r="N663" s="2">
        <v>184.41</v>
      </c>
      <c r="O663" s="2">
        <v>37.26</v>
      </c>
      <c r="P663" s="1">
        <f>(Sales_Data[[#This Row],[Profit]]/Sales_Data[[#This Row],[Revenue]])</f>
        <v>0.16808769792935443</v>
      </c>
    </row>
    <row r="664" spans="1:16" x14ac:dyDescent="0.35">
      <c r="A664" t="s">
        <v>641</v>
      </c>
      <c r="B664" s="5" t="s">
        <v>313</v>
      </c>
      <c r="C664" s="5" t="s">
        <v>310</v>
      </c>
      <c r="D664" s="5" t="str">
        <f>"Q"&amp;ROUNDUP(MONTH(B664)/3,0)</f>
        <v>Q1</v>
      </c>
      <c r="E664" t="s">
        <v>4</v>
      </c>
      <c r="F664" t="s">
        <v>11</v>
      </c>
      <c r="G664" t="s">
        <v>71</v>
      </c>
      <c r="H664" t="s">
        <v>9</v>
      </c>
      <c r="I664" t="s">
        <v>8</v>
      </c>
      <c r="J664" s="4">
        <v>4</v>
      </c>
      <c r="K664" s="3">
        <v>65964.289999999994</v>
      </c>
      <c r="L664">
        <v>5</v>
      </c>
      <c r="M664" s="2">
        <v>250664.3</v>
      </c>
      <c r="N664" s="2">
        <v>144407.87</v>
      </c>
      <c r="O664" s="2">
        <v>106256.43</v>
      </c>
      <c r="P664" s="1">
        <f>(Sales_Data[[#This Row],[Profit]]/Sales_Data[[#This Row],[Revenue]])</f>
        <v>0.42389933468786739</v>
      </c>
    </row>
    <row r="665" spans="1:16" x14ac:dyDescent="0.35">
      <c r="A665" t="s">
        <v>640</v>
      </c>
      <c r="B665" s="5" t="s">
        <v>340</v>
      </c>
      <c r="C665" s="5" t="s">
        <v>310</v>
      </c>
      <c r="D665" s="5" t="str">
        <f>"Q"&amp;ROUNDUP(MONTH(B665)/3,0)</f>
        <v>Q1</v>
      </c>
      <c r="E665" t="s">
        <v>4</v>
      </c>
      <c r="F665" t="s">
        <v>3</v>
      </c>
      <c r="G665" t="s">
        <v>85</v>
      </c>
      <c r="H665" t="s">
        <v>1</v>
      </c>
      <c r="I665" t="s">
        <v>0</v>
      </c>
      <c r="J665" s="4">
        <v>4</v>
      </c>
      <c r="K665" s="3">
        <v>509.47</v>
      </c>
      <c r="L665">
        <v>5</v>
      </c>
      <c r="M665" s="2">
        <v>1935.99</v>
      </c>
      <c r="N665" s="2">
        <v>1596.97</v>
      </c>
      <c r="O665" s="2">
        <v>339.02</v>
      </c>
      <c r="P665" s="1">
        <f>(Sales_Data[[#This Row],[Profit]]/Sales_Data[[#This Row],[Revenue]])</f>
        <v>0.17511454088089298</v>
      </c>
    </row>
    <row r="666" spans="1:16" x14ac:dyDescent="0.35">
      <c r="A666" t="s">
        <v>639</v>
      </c>
      <c r="B666" s="5" t="s">
        <v>638</v>
      </c>
      <c r="C666" s="5" t="s">
        <v>310</v>
      </c>
      <c r="D666" s="5" t="str">
        <f>"Q"&amp;ROUNDUP(MONTH(B666)/3,0)</f>
        <v>Q1</v>
      </c>
      <c r="E666" t="s">
        <v>4</v>
      </c>
      <c r="F666" t="s">
        <v>3</v>
      </c>
      <c r="G666" t="s">
        <v>174</v>
      </c>
      <c r="H666" t="s">
        <v>14</v>
      </c>
      <c r="I666" t="s">
        <v>8</v>
      </c>
      <c r="J666" s="4">
        <v>2</v>
      </c>
      <c r="K666" s="3">
        <v>2296.0500000000002</v>
      </c>
      <c r="L666">
        <v>5</v>
      </c>
      <c r="M666" s="2">
        <v>4362.49</v>
      </c>
      <c r="N666" s="2">
        <v>2513.23</v>
      </c>
      <c r="O666" s="2">
        <v>1849.26</v>
      </c>
      <c r="P666" s="1">
        <f>(Sales_Data[[#This Row],[Profit]]/Sales_Data[[#This Row],[Revenue]])</f>
        <v>0.4239001120919475</v>
      </c>
    </row>
    <row r="667" spans="1:16" x14ac:dyDescent="0.35">
      <c r="A667" t="s">
        <v>637</v>
      </c>
      <c r="B667" s="5" t="s">
        <v>311</v>
      </c>
      <c r="C667" s="5" t="s">
        <v>310</v>
      </c>
      <c r="D667" s="5" t="str">
        <f>"Q"&amp;ROUNDUP(MONTH(B667)/3,0)</f>
        <v>Q1</v>
      </c>
      <c r="E667" t="s">
        <v>36</v>
      </c>
      <c r="F667" t="s">
        <v>63</v>
      </c>
      <c r="G667" t="s">
        <v>214</v>
      </c>
      <c r="H667" t="s">
        <v>20</v>
      </c>
      <c r="I667" t="s">
        <v>19</v>
      </c>
      <c r="J667" s="4">
        <v>2</v>
      </c>
      <c r="K667" s="3">
        <v>31.98</v>
      </c>
      <c r="L667">
        <v>5</v>
      </c>
      <c r="M667" s="2">
        <v>60.76</v>
      </c>
      <c r="N667" s="2">
        <v>42.28</v>
      </c>
      <c r="O667" s="2">
        <v>18.48</v>
      </c>
      <c r="P667" s="1">
        <f>(Sales_Data[[#This Row],[Profit]]/Sales_Data[[#This Row],[Revenue]])</f>
        <v>0.30414746543778803</v>
      </c>
    </row>
    <row r="668" spans="1:16" x14ac:dyDescent="0.35">
      <c r="A668" t="s">
        <v>636</v>
      </c>
      <c r="B668" s="5" t="s">
        <v>317</v>
      </c>
      <c r="C668" s="5" t="s">
        <v>310</v>
      </c>
      <c r="D668" s="5" t="str">
        <f>"Q"&amp;ROUNDUP(MONTH(B668)/3,0)</f>
        <v>Q1</v>
      </c>
      <c r="E668" t="s">
        <v>36</v>
      </c>
      <c r="F668" t="s">
        <v>11</v>
      </c>
      <c r="G668" t="s">
        <v>369</v>
      </c>
      <c r="H668" t="s">
        <v>59</v>
      </c>
      <c r="I668" t="s">
        <v>0</v>
      </c>
      <c r="J668" s="4">
        <v>2</v>
      </c>
      <c r="K668" s="3">
        <v>1582.49</v>
      </c>
      <c r="L668">
        <v>5</v>
      </c>
      <c r="M668" s="2">
        <v>3006.73</v>
      </c>
      <c r="N668" s="2">
        <v>1750.32</v>
      </c>
      <c r="O668" s="2">
        <v>1256.4100000000001</v>
      </c>
      <c r="P668" s="1">
        <f>(Sales_Data[[#This Row],[Profit]]/Sales_Data[[#This Row],[Revenue]])</f>
        <v>0.41786592078437373</v>
      </c>
    </row>
    <row r="669" spans="1:16" x14ac:dyDescent="0.35">
      <c r="A669" t="s">
        <v>635</v>
      </c>
      <c r="B669" s="5" t="s">
        <v>627</v>
      </c>
      <c r="C669" s="5" t="s">
        <v>310</v>
      </c>
      <c r="D669" s="5" t="str">
        <f>"Q"&amp;ROUNDUP(MONTH(B669)/3,0)</f>
        <v>Q1</v>
      </c>
      <c r="E669" t="s">
        <v>4</v>
      </c>
      <c r="F669" t="s">
        <v>56</v>
      </c>
      <c r="G669" t="s">
        <v>294</v>
      </c>
      <c r="H669" t="s">
        <v>111</v>
      </c>
      <c r="I669" t="s">
        <v>49</v>
      </c>
      <c r="J669" s="4">
        <v>2</v>
      </c>
      <c r="K669" s="3">
        <v>7630.3</v>
      </c>
      <c r="L669">
        <v>5</v>
      </c>
      <c r="M669" s="2">
        <v>14497.57</v>
      </c>
      <c r="N669" s="2">
        <v>8474.98</v>
      </c>
      <c r="O669" s="2">
        <v>6022.59</v>
      </c>
      <c r="P669" s="1">
        <f>(Sales_Data[[#This Row],[Profit]]/Sales_Data[[#This Row],[Revenue]])</f>
        <v>0.415420653254304</v>
      </c>
    </row>
    <row r="670" spans="1:16" x14ac:dyDescent="0.35">
      <c r="A670" t="s">
        <v>634</v>
      </c>
      <c r="B670" s="5" t="s">
        <v>633</v>
      </c>
      <c r="C670" s="5" t="s">
        <v>310</v>
      </c>
      <c r="D670" s="5" t="str">
        <f>"Q"&amp;ROUNDUP(MONTH(B670)/3,0)</f>
        <v>Q1</v>
      </c>
      <c r="E670" t="s">
        <v>36</v>
      </c>
      <c r="F670" t="s">
        <v>56</v>
      </c>
      <c r="G670" t="s">
        <v>39</v>
      </c>
      <c r="H670" t="s">
        <v>78</v>
      </c>
      <c r="I670" t="s">
        <v>19</v>
      </c>
      <c r="J670" s="4">
        <v>6</v>
      </c>
      <c r="K670" s="3">
        <v>109.76</v>
      </c>
      <c r="L670">
        <v>5</v>
      </c>
      <c r="M670" s="2">
        <v>625.63</v>
      </c>
      <c r="N670" s="2">
        <v>431.45</v>
      </c>
      <c r="O670" s="2">
        <v>194.18</v>
      </c>
      <c r="P670" s="1">
        <f>(Sales_Data[[#This Row],[Profit]]/Sales_Data[[#This Row],[Revenue]])</f>
        <v>0.31037514185700815</v>
      </c>
    </row>
    <row r="671" spans="1:16" x14ac:dyDescent="0.35">
      <c r="A671" t="s">
        <v>632</v>
      </c>
      <c r="B671" s="5" t="s">
        <v>348</v>
      </c>
      <c r="C671" s="5" t="s">
        <v>310</v>
      </c>
      <c r="D671" s="5" t="str">
        <f>"Q"&amp;ROUNDUP(MONTH(B671)/3,0)</f>
        <v>Q1</v>
      </c>
      <c r="E671" t="s">
        <v>36</v>
      </c>
      <c r="F671" t="s">
        <v>52</v>
      </c>
      <c r="G671" t="s">
        <v>15</v>
      </c>
      <c r="H671" t="s">
        <v>59</v>
      </c>
      <c r="I671" t="s">
        <v>0</v>
      </c>
      <c r="J671" s="4">
        <v>2</v>
      </c>
      <c r="K671" s="3">
        <v>1352.1</v>
      </c>
      <c r="L671">
        <v>5</v>
      </c>
      <c r="M671" s="2">
        <v>2568.9899999999998</v>
      </c>
      <c r="N671" s="2">
        <v>1452.4</v>
      </c>
      <c r="O671" s="2">
        <v>1116.5899999999999</v>
      </c>
      <c r="P671" s="1">
        <f>(Sales_Data[[#This Row],[Profit]]/Sales_Data[[#This Row],[Revenue]])</f>
        <v>0.43464162958983882</v>
      </c>
    </row>
    <row r="672" spans="1:16" x14ac:dyDescent="0.35">
      <c r="A672" t="s">
        <v>631</v>
      </c>
      <c r="B672" s="5" t="s">
        <v>630</v>
      </c>
      <c r="C672" s="5" t="s">
        <v>310</v>
      </c>
      <c r="D672" s="5" t="str">
        <f>"Q"&amp;ROUNDUP(MONTH(B672)/3,0)</f>
        <v>Q1</v>
      </c>
      <c r="E672" t="s">
        <v>23</v>
      </c>
      <c r="F672" t="s">
        <v>22</v>
      </c>
      <c r="G672" t="s">
        <v>264</v>
      </c>
      <c r="H672" t="s">
        <v>45</v>
      </c>
      <c r="I672" t="s">
        <v>8</v>
      </c>
      <c r="J672" s="4">
        <v>5</v>
      </c>
      <c r="K672" s="3">
        <v>879.09</v>
      </c>
      <c r="L672">
        <v>5</v>
      </c>
      <c r="M672" s="2">
        <v>4175.68</v>
      </c>
      <c r="N672" s="2">
        <v>2706.05</v>
      </c>
      <c r="O672" s="2">
        <v>1469.63</v>
      </c>
      <c r="P672" s="1">
        <f>(Sales_Data[[#This Row],[Profit]]/Sales_Data[[#This Row],[Revenue]])</f>
        <v>0.35194986205839529</v>
      </c>
    </row>
    <row r="673" spans="1:16" x14ac:dyDescent="0.35">
      <c r="A673" t="s">
        <v>629</v>
      </c>
      <c r="B673" s="5" t="s">
        <v>348</v>
      </c>
      <c r="C673" s="5" t="s">
        <v>310</v>
      </c>
      <c r="D673" s="5" t="str">
        <f>"Q"&amp;ROUNDUP(MONTH(B673)/3,0)</f>
        <v>Q1</v>
      </c>
      <c r="E673" t="s">
        <v>23</v>
      </c>
      <c r="F673" t="s">
        <v>56</v>
      </c>
      <c r="G673" t="s">
        <v>220</v>
      </c>
      <c r="H673" t="s">
        <v>20</v>
      </c>
      <c r="I673" t="s">
        <v>19</v>
      </c>
      <c r="J673" s="4">
        <v>7</v>
      </c>
      <c r="K673" s="3">
        <v>32.07</v>
      </c>
      <c r="L673">
        <v>5</v>
      </c>
      <c r="M673" s="2">
        <v>213.27</v>
      </c>
      <c r="N673" s="2">
        <v>156.62</v>
      </c>
      <c r="O673" s="2">
        <v>56.65</v>
      </c>
      <c r="P673" s="1">
        <f>(Sales_Data[[#This Row],[Profit]]/Sales_Data[[#This Row],[Revenue]])</f>
        <v>0.26562573263937728</v>
      </c>
    </row>
    <row r="674" spans="1:16" x14ac:dyDescent="0.35">
      <c r="A674" t="s">
        <v>628</v>
      </c>
      <c r="B674" s="5" t="s">
        <v>627</v>
      </c>
      <c r="C674" s="5" t="s">
        <v>310</v>
      </c>
      <c r="D674" s="5" t="str">
        <f>"Q"&amp;ROUNDUP(MONTH(B674)/3,0)</f>
        <v>Q1</v>
      </c>
      <c r="E674" t="s">
        <v>16</v>
      </c>
      <c r="F674" t="s">
        <v>56</v>
      </c>
      <c r="G674" t="s">
        <v>68</v>
      </c>
      <c r="H674" t="s">
        <v>9</v>
      </c>
      <c r="I674" t="s">
        <v>8</v>
      </c>
      <c r="J674" s="4">
        <v>1</v>
      </c>
      <c r="K674" s="3">
        <v>60304.55</v>
      </c>
      <c r="L674">
        <v>5</v>
      </c>
      <c r="M674" s="2">
        <v>57289.32</v>
      </c>
      <c r="N674" s="2">
        <v>32602.15</v>
      </c>
      <c r="O674" s="2">
        <v>24687.17</v>
      </c>
      <c r="P674" s="1">
        <f>(Sales_Data[[#This Row],[Profit]]/Sales_Data[[#This Row],[Revenue]])</f>
        <v>0.43092098143249036</v>
      </c>
    </row>
    <row r="675" spans="1:16" x14ac:dyDescent="0.35">
      <c r="A675" t="s">
        <v>626</v>
      </c>
      <c r="B675" s="5" t="s">
        <v>335</v>
      </c>
      <c r="C675" s="5" t="s">
        <v>310</v>
      </c>
      <c r="D675" s="5" t="str">
        <f>"Q"&amp;ROUNDUP(MONTH(B675)/3,0)</f>
        <v>Q1</v>
      </c>
      <c r="E675" t="s">
        <v>36</v>
      </c>
      <c r="F675" t="s">
        <v>52</v>
      </c>
      <c r="G675" t="s">
        <v>116</v>
      </c>
      <c r="H675" t="s">
        <v>14</v>
      </c>
      <c r="I675" t="s">
        <v>8</v>
      </c>
      <c r="J675" s="4">
        <v>1</v>
      </c>
      <c r="K675" s="3">
        <v>2293.1999999999998</v>
      </c>
      <c r="L675">
        <v>5</v>
      </c>
      <c r="M675" s="2">
        <v>2178.54</v>
      </c>
      <c r="N675" s="2">
        <v>1222.5999999999999</v>
      </c>
      <c r="O675" s="2">
        <v>955.94</v>
      </c>
      <c r="P675" s="1">
        <f>(Sales_Data[[#This Row],[Profit]]/Sales_Data[[#This Row],[Revenue]])</f>
        <v>0.43879846135485234</v>
      </c>
    </row>
    <row r="676" spans="1:16" x14ac:dyDescent="0.35">
      <c r="A676" t="s">
        <v>625</v>
      </c>
      <c r="B676" s="5" t="s">
        <v>624</v>
      </c>
      <c r="C676" s="5" t="s">
        <v>275</v>
      </c>
      <c r="D676" s="5" t="str">
        <f>"Q"&amp;ROUNDUP(MONTH(B676)/3,0)</f>
        <v>Q1</v>
      </c>
      <c r="E676" t="s">
        <v>4</v>
      </c>
      <c r="F676" t="s">
        <v>22</v>
      </c>
      <c r="G676" t="s">
        <v>31</v>
      </c>
      <c r="H676" t="s">
        <v>50</v>
      </c>
      <c r="I676" t="s">
        <v>49</v>
      </c>
      <c r="J676" s="4">
        <v>2</v>
      </c>
      <c r="K676" s="3">
        <v>4340.83</v>
      </c>
      <c r="L676">
        <v>5</v>
      </c>
      <c r="M676" s="2">
        <v>8247.58</v>
      </c>
      <c r="N676" s="2">
        <v>6685.39</v>
      </c>
      <c r="O676" s="2">
        <v>1562.19</v>
      </c>
      <c r="P676" s="1">
        <f>(Sales_Data[[#This Row],[Profit]]/Sales_Data[[#This Row],[Revenue]])</f>
        <v>0.18941192446754079</v>
      </c>
    </row>
    <row r="677" spans="1:16" x14ac:dyDescent="0.35">
      <c r="A677" t="s">
        <v>623</v>
      </c>
      <c r="B677" s="5" t="s">
        <v>295</v>
      </c>
      <c r="C677" s="5" t="s">
        <v>275</v>
      </c>
      <c r="D677" s="5" t="str">
        <f>"Q"&amp;ROUNDUP(MONTH(B677)/3,0)</f>
        <v>Q1</v>
      </c>
      <c r="E677" t="s">
        <v>16</v>
      </c>
      <c r="F677" t="s">
        <v>11</v>
      </c>
      <c r="G677" t="s">
        <v>75</v>
      </c>
      <c r="H677" t="s">
        <v>34</v>
      </c>
      <c r="I677" t="s">
        <v>8</v>
      </c>
      <c r="J677" s="4">
        <v>4</v>
      </c>
      <c r="K677" s="3">
        <v>27285.71</v>
      </c>
      <c r="L677">
        <v>5</v>
      </c>
      <c r="M677" s="2">
        <v>103685.7</v>
      </c>
      <c r="N677" s="2">
        <v>80781.460000000006</v>
      </c>
      <c r="O677" s="2">
        <v>22904.240000000002</v>
      </c>
      <c r="P677" s="1">
        <f>(Sales_Data[[#This Row],[Profit]]/Sales_Data[[#This Row],[Revenue]])</f>
        <v>0.2209006642188846</v>
      </c>
    </row>
    <row r="678" spans="1:16" x14ac:dyDescent="0.35">
      <c r="A678" t="s">
        <v>622</v>
      </c>
      <c r="B678" s="5" t="s">
        <v>278</v>
      </c>
      <c r="C678" s="5" t="s">
        <v>275</v>
      </c>
      <c r="D678" s="5" t="str">
        <f>"Q"&amp;ROUNDUP(MONTH(B678)/3,0)</f>
        <v>Q1</v>
      </c>
      <c r="E678" t="s">
        <v>16</v>
      </c>
      <c r="F678" t="s">
        <v>11</v>
      </c>
      <c r="G678" t="s">
        <v>26</v>
      </c>
      <c r="H678" t="s">
        <v>50</v>
      </c>
      <c r="I678" t="s">
        <v>49</v>
      </c>
      <c r="J678" s="4">
        <v>8</v>
      </c>
      <c r="K678" s="3">
        <v>4243.18</v>
      </c>
      <c r="L678">
        <v>5</v>
      </c>
      <c r="M678" s="2">
        <v>32248.17</v>
      </c>
      <c r="N678" s="2">
        <v>20100.740000000002</v>
      </c>
      <c r="O678" s="2">
        <v>12147.43</v>
      </c>
      <c r="P678" s="1">
        <f>(Sales_Data[[#This Row],[Profit]]/Sales_Data[[#This Row],[Revenue]])</f>
        <v>0.37668587085716804</v>
      </c>
    </row>
    <row r="679" spans="1:16" x14ac:dyDescent="0.35">
      <c r="A679" t="s">
        <v>621</v>
      </c>
      <c r="B679" s="5" t="s">
        <v>280</v>
      </c>
      <c r="C679" s="5" t="s">
        <v>275</v>
      </c>
      <c r="D679" s="5" t="str">
        <f>"Q"&amp;ROUNDUP(MONTH(B679)/3,0)</f>
        <v>Q1</v>
      </c>
      <c r="E679" t="s">
        <v>36</v>
      </c>
      <c r="F679" t="s">
        <v>56</v>
      </c>
      <c r="G679" t="s">
        <v>264</v>
      </c>
      <c r="H679" t="s">
        <v>50</v>
      </c>
      <c r="I679" t="s">
        <v>49</v>
      </c>
      <c r="J679" s="4">
        <v>4</v>
      </c>
      <c r="K679" s="3">
        <v>4388.42</v>
      </c>
      <c r="L679">
        <v>5</v>
      </c>
      <c r="M679" s="2">
        <v>16676</v>
      </c>
      <c r="N679" s="2">
        <v>10284.219999999999</v>
      </c>
      <c r="O679" s="2">
        <v>6391.78</v>
      </c>
      <c r="P679" s="1">
        <f>(Sales_Data[[#This Row],[Profit]]/Sales_Data[[#This Row],[Revenue]])</f>
        <v>0.3832921563924202</v>
      </c>
    </row>
    <row r="680" spans="1:16" x14ac:dyDescent="0.35">
      <c r="A680" t="s">
        <v>620</v>
      </c>
      <c r="B680" s="5" t="s">
        <v>619</v>
      </c>
      <c r="C680" s="5" t="s">
        <v>275</v>
      </c>
      <c r="D680" s="5" t="str">
        <f>"Q"&amp;ROUNDUP(MONTH(B680)/3,0)</f>
        <v>Q1</v>
      </c>
      <c r="E680" t="s">
        <v>36</v>
      </c>
      <c r="F680" t="s">
        <v>11</v>
      </c>
      <c r="G680" t="s">
        <v>2</v>
      </c>
      <c r="H680" t="s">
        <v>50</v>
      </c>
      <c r="I680" t="s">
        <v>49</v>
      </c>
      <c r="J680" s="4">
        <v>1</v>
      </c>
      <c r="K680" s="3">
        <v>4767.3500000000004</v>
      </c>
      <c r="L680">
        <v>5</v>
      </c>
      <c r="M680" s="2">
        <v>4528.9799999999996</v>
      </c>
      <c r="N680" s="2">
        <v>2898.89</v>
      </c>
      <c r="O680" s="2">
        <v>1630.09</v>
      </c>
      <c r="P680" s="1">
        <f>(Sales_Data[[#This Row],[Profit]]/Sales_Data[[#This Row],[Revenue]])</f>
        <v>0.35992430966796057</v>
      </c>
    </row>
    <row r="681" spans="1:16" x14ac:dyDescent="0.35">
      <c r="A681" t="s">
        <v>618</v>
      </c>
      <c r="B681" s="5" t="s">
        <v>617</v>
      </c>
      <c r="C681" s="5" t="s">
        <v>275</v>
      </c>
      <c r="D681" s="5" t="str">
        <f>"Q"&amp;ROUNDUP(MONTH(B681)/3,0)</f>
        <v>Q1</v>
      </c>
      <c r="E681" t="s">
        <v>16</v>
      </c>
      <c r="F681" t="s">
        <v>63</v>
      </c>
      <c r="G681" t="s">
        <v>101</v>
      </c>
      <c r="H681" t="s">
        <v>50</v>
      </c>
      <c r="I681" t="s">
        <v>49</v>
      </c>
      <c r="J681" s="4">
        <v>7</v>
      </c>
      <c r="K681" s="3">
        <v>4354.49</v>
      </c>
      <c r="L681">
        <v>5</v>
      </c>
      <c r="M681" s="2">
        <v>28957.360000000001</v>
      </c>
      <c r="N681" s="2">
        <v>18982.14</v>
      </c>
      <c r="O681" s="2">
        <v>9975.2199999999993</v>
      </c>
      <c r="P681" s="1">
        <f>(Sales_Data[[#This Row],[Profit]]/Sales_Data[[#This Row],[Revenue]])</f>
        <v>0.3444796072570151</v>
      </c>
    </row>
    <row r="682" spans="1:16" x14ac:dyDescent="0.35">
      <c r="A682" t="s">
        <v>616</v>
      </c>
      <c r="B682" s="5" t="s">
        <v>615</v>
      </c>
      <c r="C682" s="5" t="s">
        <v>275</v>
      </c>
      <c r="D682" s="5" t="str">
        <f>"Q"&amp;ROUNDUP(MONTH(B682)/3,0)</f>
        <v>Q1</v>
      </c>
      <c r="E682" t="s">
        <v>16</v>
      </c>
      <c r="F682" t="s">
        <v>22</v>
      </c>
      <c r="G682" t="s">
        <v>166</v>
      </c>
      <c r="H682" t="s">
        <v>59</v>
      </c>
      <c r="I682" t="s">
        <v>0</v>
      </c>
      <c r="J682" s="4">
        <v>3</v>
      </c>
      <c r="K682" s="3">
        <v>1408.27</v>
      </c>
      <c r="L682">
        <v>5</v>
      </c>
      <c r="M682" s="2">
        <v>4013.57</v>
      </c>
      <c r="N682" s="2">
        <v>2764.35</v>
      </c>
      <c r="O682" s="2">
        <v>1249.22</v>
      </c>
      <c r="P682" s="1">
        <f>(Sales_Data[[#This Row],[Profit]]/Sales_Data[[#This Row],[Revenue]])</f>
        <v>0.31124908747075547</v>
      </c>
    </row>
    <row r="683" spans="1:16" x14ac:dyDescent="0.35">
      <c r="A683" t="s">
        <v>614</v>
      </c>
      <c r="B683" s="5" t="s">
        <v>282</v>
      </c>
      <c r="C683" s="5" t="s">
        <v>275</v>
      </c>
      <c r="D683" s="5" t="str">
        <f>"Q"&amp;ROUNDUP(MONTH(B683)/3,0)</f>
        <v>Q1</v>
      </c>
      <c r="E683" t="s">
        <v>23</v>
      </c>
      <c r="F683" t="s">
        <v>11</v>
      </c>
      <c r="G683" t="s">
        <v>101</v>
      </c>
      <c r="H683" t="s">
        <v>111</v>
      </c>
      <c r="I683" t="s">
        <v>49</v>
      </c>
      <c r="J683" s="4">
        <v>4</v>
      </c>
      <c r="K683" s="3">
        <v>8500.4500000000007</v>
      </c>
      <c r="L683">
        <v>5</v>
      </c>
      <c r="M683" s="2">
        <v>32301.71</v>
      </c>
      <c r="N683" s="2">
        <v>17945.939999999999</v>
      </c>
      <c r="O683" s="2">
        <v>14355.77</v>
      </c>
      <c r="P683" s="1">
        <f>(Sales_Data[[#This Row],[Profit]]/Sales_Data[[#This Row],[Revenue]])</f>
        <v>0.44442755507370973</v>
      </c>
    </row>
    <row r="684" spans="1:16" x14ac:dyDescent="0.35">
      <c r="A684" t="s">
        <v>613</v>
      </c>
      <c r="B684" s="5" t="s">
        <v>607</v>
      </c>
      <c r="C684" s="5" t="s">
        <v>275</v>
      </c>
      <c r="D684" s="5" t="str">
        <f>"Q"&amp;ROUNDUP(MONTH(B684)/3,0)</f>
        <v>Q1</v>
      </c>
      <c r="E684" t="s">
        <v>23</v>
      </c>
      <c r="F684" t="s">
        <v>63</v>
      </c>
      <c r="G684" t="s">
        <v>60</v>
      </c>
      <c r="H684" t="s">
        <v>14</v>
      </c>
      <c r="I684" t="s">
        <v>8</v>
      </c>
      <c r="J684" s="4">
        <v>2</v>
      </c>
      <c r="K684" s="3">
        <v>2513.0700000000002</v>
      </c>
      <c r="L684">
        <v>5</v>
      </c>
      <c r="M684" s="2">
        <v>4774.83</v>
      </c>
      <c r="N684" s="2">
        <v>2779.28</v>
      </c>
      <c r="O684" s="2">
        <v>1995.55</v>
      </c>
      <c r="P684" s="1">
        <f>(Sales_Data[[#This Row],[Profit]]/Sales_Data[[#This Row],[Revenue]])</f>
        <v>0.4179311095892419</v>
      </c>
    </row>
    <row r="685" spans="1:16" x14ac:dyDescent="0.35">
      <c r="A685" t="s">
        <v>612</v>
      </c>
      <c r="B685" s="5" t="s">
        <v>282</v>
      </c>
      <c r="C685" s="5" t="s">
        <v>275</v>
      </c>
      <c r="D685" s="5" t="str">
        <f>"Q"&amp;ROUNDUP(MONTH(B685)/3,0)</f>
        <v>Q1</v>
      </c>
      <c r="E685" t="s">
        <v>23</v>
      </c>
      <c r="F685" t="s">
        <v>11</v>
      </c>
      <c r="G685" t="s">
        <v>2</v>
      </c>
      <c r="H685" t="s">
        <v>20</v>
      </c>
      <c r="I685" t="s">
        <v>19</v>
      </c>
      <c r="J685" s="4">
        <v>6</v>
      </c>
      <c r="K685" s="3">
        <v>30.99</v>
      </c>
      <c r="L685">
        <v>5</v>
      </c>
      <c r="M685" s="2">
        <v>176.64</v>
      </c>
      <c r="N685" s="2">
        <v>109.84</v>
      </c>
      <c r="O685" s="2">
        <v>66.8</v>
      </c>
      <c r="P685" s="1">
        <f>(Sales_Data[[#This Row],[Profit]]/Sales_Data[[#This Row],[Revenue]])</f>
        <v>0.37817028985507245</v>
      </c>
    </row>
    <row r="686" spans="1:16" x14ac:dyDescent="0.35">
      <c r="A686" t="s">
        <v>611</v>
      </c>
      <c r="B686" s="5" t="s">
        <v>607</v>
      </c>
      <c r="C686" s="5" t="s">
        <v>275</v>
      </c>
      <c r="D686" s="5" t="str">
        <f>"Q"&amp;ROUNDUP(MONTH(B686)/3,0)</f>
        <v>Q1</v>
      </c>
      <c r="E686" t="s">
        <v>36</v>
      </c>
      <c r="F686" t="s">
        <v>11</v>
      </c>
      <c r="G686" t="s">
        <v>118</v>
      </c>
      <c r="H686" t="s">
        <v>20</v>
      </c>
      <c r="I686" t="s">
        <v>19</v>
      </c>
      <c r="J686" s="4">
        <v>5</v>
      </c>
      <c r="K686" s="3">
        <v>31.18</v>
      </c>
      <c r="L686">
        <v>5</v>
      </c>
      <c r="M686" s="2">
        <v>148.1</v>
      </c>
      <c r="N686" s="2">
        <v>95.24</v>
      </c>
      <c r="O686" s="2">
        <v>52.86</v>
      </c>
      <c r="P686" s="1">
        <f>(Sales_Data[[#This Row],[Profit]]/Sales_Data[[#This Row],[Revenue]])</f>
        <v>0.35692099932478055</v>
      </c>
    </row>
    <row r="687" spans="1:16" x14ac:dyDescent="0.35">
      <c r="A687" t="s">
        <v>610</v>
      </c>
      <c r="B687" s="5" t="s">
        <v>305</v>
      </c>
      <c r="C687" s="5" t="s">
        <v>275</v>
      </c>
      <c r="D687" s="5" t="str">
        <f>"Q"&amp;ROUNDUP(MONTH(B687)/3,0)</f>
        <v>Q1</v>
      </c>
      <c r="E687" t="s">
        <v>36</v>
      </c>
      <c r="F687" t="s">
        <v>63</v>
      </c>
      <c r="G687" t="s">
        <v>92</v>
      </c>
      <c r="H687" t="s">
        <v>45</v>
      </c>
      <c r="I687" t="s">
        <v>8</v>
      </c>
      <c r="J687" s="4">
        <v>7</v>
      </c>
      <c r="K687" s="3">
        <v>926.21</v>
      </c>
      <c r="L687">
        <v>5</v>
      </c>
      <c r="M687" s="2">
        <v>6159.3</v>
      </c>
      <c r="N687" s="2">
        <v>3684.55</v>
      </c>
      <c r="O687" s="2">
        <v>2474.75</v>
      </c>
      <c r="P687" s="1">
        <f>(Sales_Data[[#This Row],[Profit]]/Sales_Data[[#This Row],[Revenue]])</f>
        <v>0.40179078791421102</v>
      </c>
    </row>
    <row r="688" spans="1:16" x14ac:dyDescent="0.35">
      <c r="A688" t="s">
        <v>609</v>
      </c>
      <c r="B688" s="5" t="s">
        <v>280</v>
      </c>
      <c r="C688" s="5" t="s">
        <v>275</v>
      </c>
      <c r="D688" s="5" t="str">
        <f>"Q"&amp;ROUNDUP(MONTH(B688)/3,0)</f>
        <v>Q1</v>
      </c>
      <c r="E688" t="s">
        <v>16</v>
      </c>
      <c r="F688" t="s">
        <v>11</v>
      </c>
      <c r="G688" t="s">
        <v>112</v>
      </c>
      <c r="H688" t="s">
        <v>14</v>
      </c>
      <c r="I688" t="s">
        <v>8</v>
      </c>
      <c r="J688" s="4">
        <v>3</v>
      </c>
      <c r="K688" s="3">
        <v>2508.16</v>
      </c>
      <c r="L688">
        <v>5</v>
      </c>
      <c r="M688" s="2">
        <v>7148.26</v>
      </c>
      <c r="N688" s="2">
        <v>4372.53</v>
      </c>
      <c r="O688" s="2">
        <v>2775.73</v>
      </c>
      <c r="P688" s="1">
        <f>(Sales_Data[[#This Row],[Profit]]/Sales_Data[[#This Row],[Revenue]])</f>
        <v>0.38830848346310848</v>
      </c>
    </row>
    <row r="689" spans="1:16" x14ac:dyDescent="0.35">
      <c r="A689" t="s">
        <v>608</v>
      </c>
      <c r="B689" s="5" t="s">
        <v>607</v>
      </c>
      <c r="C689" s="5" t="s">
        <v>275</v>
      </c>
      <c r="D689" s="5" t="str">
        <f>"Q"&amp;ROUNDUP(MONTH(B689)/3,0)</f>
        <v>Q1</v>
      </c>
      <c r="E689" t="s">
        <v>16</v>
      </c>
      <c r="F689" t="s">
        <v>56</v>
      </c>
      <c r="G689" t="s">
        <v>10</v>
      </c>
      <c r="H689" t="s">
        <v>111</v>
      </c>
      <c r="I689" t="s">
        <v>49</v>
      </c>
      <c r="J689" s="4">
        <v>1</v>
      </c>
      <c r="K689" s="3">
        <v>7652.95</v>
      </c>
      <c r="L689">
        <v>5</v>
      </c>
      <c r="M689" s="2">
        <v>7270.3</v>
      </c>
      <c r="N689" s="2">
        <v>5497.34</v>
      </c>
      <c r="O689" s="2">
        <v>1772.96</v>
      </c>
      <c r="P689" s="1">
        <f>(Sales_Data[[#This Row],[Profit]]/Sales_Data[[#This Row],[Revenue]])</f>
        <v>0.24386338940621433</v>
      </c>
    </row>
    <row r="690" spans="1:16" x14ac:dyDescent="0.35">
      <c r="A690" t="s">
        <v>606</v>
      </c>
      <c r="B690" s="5" t="s">
        <v>305</v>
      </c>
      <c r="C690" s="5" t="s">
        <v>275</v>
      </c>
      <c r="D690" s="5" t="str">
        <f>"Q"&amp;ROUNDUP(MONTH(B690)/3,0)</f>
        <v>Q1</v>
      </c>
      <c r="E690" t="s">
        <v>4</v>
      </c>
      <c r="F690" t="s">
        <v>3</v>
      </c>
      <c r="G690" t="s">
        <v>174</v>
      </c>
      <c r="H690" t="s">
        <v>45</v>
      </c>
      <c r="I690" t="s">
        <v>8</v>
      </c>
      <c r="J690" s="4">
        <v>3</v>
      </c>
      <c r="K690" s="3">
        <v>903.77</v>
      </c>
      <c r="L690">
        <v>5</v>
      </c>
      <c r="M690" s="2">
        <v>2575.7399999999998</v>
      </c>
      <c r="N690" s="2">
        <v>2044.33</v>
      </c>
      <c r="O690" s="2">
        <v>531.41</v>
      </c>
      <c r="P690" s="1">
        <f>(Sales_Data[[#This Row],[Profit]]/Sales_Data[[#This Row],[Revenue]])</f>
        <v>0.20631352543346768</v>
      </c>
    </row>
    <row r="691" spans="1:16" x14ac:dyDescent="0.35">
      <c r="A691" t="s">
        <v>605</v>
      </c>
      <c r="B691" s="5" t="s">
        <v>299</v>
      </c>
      <c r="C691" s="5" t="s">
        <v>275</v>
      </c>
      <c r="D691" s="5" t="str">
        <f>"Q"&amp;ROUNDUP(MONTH(B691)/3,0)</f>
        <v>Q1</v>
      </c>
      <c r="E691" t="s">
        <v>4</v>
      </c>
      <c r="F691" t="s">
        <v>3</v>
      </c>
      <c r="G691" t="s">
        <v>166</v>
      </c>
      <c r="H691" t="s">
        <v>111</v>
      </c>
      <c r="I691" t="s">
        <v>49</v>
      </c>
      <c r="J691" s="4">
        <v>6</v>
      </c>
      <c r="K691" s="3">
        <v>7802.29</v>
      </c>
      <c r="L691">
        <v>5</v>
      </c>
      <c r="M691" s="2">
        <v>44473.05</v>
      </c>
      <c r="N691" s="2">
        <v>29011.96</v>
      </c>
      <c r="O691" s="2">
        <v>15461.09</v>
      </c>
      <c r="P691" s="1">
        <f>(Sales_Data[[#This Row],[Profit]]/Sales_Data[[#This Row],[Revenue]])</f>
        <v>0.34765076827426944</v>
      </c>
    </row>
    <row r="692" spans="1:16" x14ac:dyDescent="0.35">
      <c r="A692" t="s">
        <v>604</v>
      </c>
      <c r="B692" s="5" t="s">
        <v>603</v>
      </c>
      <c r="C692" s="5" t="s">
        <v>275</v>
      </c>
      <c r="D692" s="5" t="str">
        <f>"Q"&amp;ROUNDUP(MONTH(B692)/3,0)</f>
        <v>Q1</v>
      </c>
      <c r="E692" t="s">
        <v>4</v>
      </c>
      <c r="F692" t="s">
        <v>22</v>
      </c>
      <c r="G692" t="s">
        <v>10</v>
      </c>
      <c r="H692" t="s">
        <v>20</v>
      </c>
      <c r="I692" t="s">
        <v>19</v>
      </c>
      <c r="J692" s="4">
        <v>6</v>
      </c>
      <c r="K692" s="3">
        <v>27.49</v>
      </c>
      <c r="L692">
        <v>5</v>
      </c>
      <c r="M692" s="2">
        <v>156.69</v>
      </c>
      <c r="N692" s="2">
        <v>108.51</v>
      </c>
      <c r="O692" s="2">
        <v>48.18</v>
      </c>
      <c r="P692" s="1">
        <f>(Sales_Data[[#This Row],[Profit]]/Sales_Data[[#This Row],[Revenue]])</f>
        <v>0.30748611908864637</v>
      </c>
    </row>
    <row r="693" spans="1:16" x14ac:dyDescent="0.35">
      <c r="A693" t="s">
        <v>602</v>
      </c>
      <c r="B693" s="5" t="s">
        <v>579</v>
      </c>
      <c r="C693" s="5" t="s">
        <v>235</v>
      </c>
      <c r="D693" s="5" t="str">
        <f>"Q"&amp;ROUNDUP(MONTH(B693)/3,0)</f>
        <v>Q3</v>
      </c>
      <c r="E693" t="s">
        <v>4</v>
      </c>
      <c r="F693" t="s">
        <v>11</v>
      </c>
      <c r="G693" t="s">
        <v>142</v>
      </c>
      <c r="H693" t="s">
        <v>9</v>
      </c>
      <c r="I693" t="s">
        <v>8</v>
      </c>
      <c r="J693" s="4">
        <v>7</v>
      </c>
      <c r="K693" s="3">
        <v>58192.66</v>
      </c>
      <c r="L693">
        <v>5</v>
      </c>
      <c r="M693" s="2">
        <v>386981.19</v>
      </c>
      <c r="N693" s="2">
        <v>262728.03999999998</v>
      </c>
      <c r="O693" s="2">
        <v>124253.15</v>
      </c>
      <c r="P693" s="1">
        <f>(Sales_Data[[#This Row],[Profit]]/Sales_Data[[#This Row],[Revenue]])</f>
        <v>0.32108317719525331</v>
      </c>
    </row>
    <row r="694" spans="1:16" x14ac:dyDescent="0.35">
      <c r="A694" t="s">
        <v>601</v>
      </c>
      <c r="B694" s="5" t="s">
        <v>600</v>
      </c>
      <c r="C694" s="5" t="s">
        <v>235</v>
      </c>
      <c r="D694" s="5" t="str">
        <f>"Q"&amp;ROUNDUP(MONTH(B694)/3,0)</f>
        <v>Q3</v>
      </c>
      <c r="E694" t="s">
        <v>16</v>
      </c>
      <c r="F694" t="s">
        <v>11</v>
      </c>
      <c r="G694" t="s">
        <v>294</v>
      </c>
      <c r="H694" t="s">
        <v>45</v>
      </c>
      <c r="I694" t="s">
        <v>8</v>
      </c>
      <c r="J694" s="4">
        <v>7</v>
      </c>
      <c r="K694" s="3">
        <v>854.42</v>
      </c>
      <c r="L694">
        <v>5</v>
      </c>
      <c r="M694" s="2">
        <v>5681.89</v>
      </c>
      <c r="N694" s="2">
        <v>3145.44</v>
      </c>
      <c r="O694" s="2">
        <v>2536.4499999999998</v>
      </c>
      <c r="P694" s="1">
        <f>(Sales_Data[[#This Row],[Profit]]/Sales_Data[[#This Row],[Revenue]])</f>
        <v>0.4464095573831946</v>
      </c>
    </row>
    <row r="695" spans="1:16" x14ac:dyDescent="0.35">
      <c r="A695" t="s">
        <v>599</v>
      </c>
      <c r="B695" s="5" t="s">
        <v>585</v>
      </c>
      <c r="C695" s="5" t="s">
        <v>235</v>
      </c>
      <c r="D695" s="5" t="str">
        <f>"Q"&amp;ROUNDUP(MONTH(B695)/3,0)</f>
        <v>Q3</v>
      </c>
      <c r="E695" t="s">
        <v>23</v>
      </c>
      <c r="F695" t="s">
        <v>3</v>
      </c>
      <c r="G695" t="s">
        <v>220</v>
      </c>
      <c r="H695" t="s">
        <v>1</v>
      </c>
      <c r="I695" t="s">
        <v>0</v>
      </c>
      <c r="J695" s="4">
        <v>6</v>
      </c>
      <c r="K695" s="3">
        <v>481.63</v>
      </c>
      <c r="L695">
        <v>5</v>
      </c>
      <c r="M695" s="2">
        <v>2745.29</v>
      </c>
      <c r="N695" s="2">
        <v>2214.67</v>
      </c>
      <c r="O695" s="2">
        <v>530.62</v>
      </c>
      <c r="P695" s="1">
        <f>(Sales_Data[[#This Row],[Profit]]/Sales_Data[[#This Row],[Revenue]])</f>
        <v>0.19328376965639332</v>
      </c>
    </row>
    <row r="696" spans="1:16" x14ac:dyDescent="0.35">
      <c r="A696" t="s">
        <v>598</v>
      </c>
      <c r="B696" s="5" t="s">
        <v>597</v>
      </c>
      <c r="C696" s="5" t="s">
        <v>235</v>
      </c>
      <c r="D696" s="5" t="str">
        <f>"Q"&amp;ROUNDUP(MONTH(B696)/3,0)</f>
        <v>Q3</v>
      </c>
      <c r="E696" t="s">
        <v>23</v>
      </c>
      <c r="F696" t="s">
        <v>56</v>
      </c>
      <c r="G696" t="s">
        <v>2</v>
      </c>
      <c r="H696" t="s">
        <v>9</v>
      </c>
      <c r="I696" t="s">
        <v>8</v>
      </c>
      <c r="J696" s="4">
        <v>8</v>
      </c>
      <c r="K696" s="3">
        <v>64181.08</v>
      </c>
      <c r="L696">
        <v>5</v>
      </c>
      <c r="M696" s="2">
        <v>487776.21</v>
      </c>
      <c r="N696" s="2">
        <v>392025.12</v>
      </c>
      <c r="O696" s="2">
        <v>95751.09</v>
      </c>
      <c r="P696" s="1">
        <f>(Sales_Data[[#This Row],[Profit]]/Sales_Data[[#This Row],[Revenue]])</f>
        <v>0.19630127102754763</v>
      </c>
    </row>
    <row r="697" spans="1:16" x14ac:dyDescent="0.35">
      <c r="A697" t="s">
        <v>596</v>
      </c>
      <c r="B697" s="5" t="s">
        <v>595</v>
      </c>
      <c r="C697" s="5" t="s">
        <v>235</v>
      </c>
      <c r="D697" s="5" t="str">
        <f>"Q"&amp;ROUNDUP(MONTH(B697)/3,0)</f>
        <v>Q3</v>
      </c>
      <c r="E697" t="s">
        <v>16</v>
      </c>
      <c r="F697" t="s">
        <v>3</v>
      </c>
      <c r="G697" t="s">
        <v>137</v>
      </c>
      <c r="H697" t="s">
        <v>45</v>
      </c>
      <c r="I697" t="s">
        <v>8</v>
      </c>
      <c r="J697" s="4">
        <v>3</v>
      </c>
      <c r="K697" s="3">
        <v>884.44</v>
      </c>
      <c r="L697">
        <v>5</v>
      </c>
      <c r="M697" s="2">
        <v>2520.65</v>
      </c>
      <c r="N697" s="2">
        <v>1762.59</v>
      </c>
      <c r="O697" s="2">
        <v>758.06</v>
      </c>
      <c r="P697" s="1">
        <f>(Sales_Data[[#This Row],[Profit]]/Sales_Data[[#This Row],[Revenue]])</f>
        <v>0.30073988852081801</v>
      </c>
    </row>
    <row r="698" spans="1:16" x14ac:dyDescent="0.35">
      <c r="A698" t="s">
        <v>594</v>
      </c>
      <c r="B698" s="5" t="s">
        <v>253</v>
      </c>
      <c r="C698" s="5" t="s">
        <v>235</v>
      </c>
      <c r="D698" s="5" t="str">
        <f>"Q"&amp;ROUNDUP(MONTH(B698)/3,0)</f>
        <v>Q3</v>
      </c>
      <c r="E698" t="s">
        <v>23</v>
      </c>
      <c r="F698" t="s">
        <v>22</v>
      </c>
      <c r="G698" t="s">
        <v>35</v>
      </c>
      <c r="H698" t="s">
        <v>78</v>
      </c>
      <c r="I698" t="s">
        <v>19</v>
      </c>
      <c r="J698" s="4">
        <v>1</v>
      </c>
      <c r="K698" s="3">
        <v>109.48</v>
      </c>
      <c r="L698">
        <v>5</v>
      </c>
      <c r="M698" s="2">
        <v>104.01</v>
      </c>
      <c r="N698" s="2">
        <v>75.48</v>
      </c>
      <c r="O698" s="2">
        <v>28.53</v>
      </c>
      <c r="P698" s="1">
        <f>(Sales_Data[[#This Row],[Profit]]/Sales_Data[[#This Row],[Revenue]])</f>
        <v>0.27430054802422843</v>
      </c>
    </row>
    <row r="699" spans="1:16" x14ac:dyDescent="0.35">
      <c r="A699" t="s">
        <v>593</v>
      </c>
      <c r="B699" s="5" t="s">
        <v>579</v>
      </c>
      <c r="C699" s="5" t="s">
        <v>235</v>
      </c>
      <c r="D699" s="5" t="str">
        <f>"Q"&amp;ROUNDUP(MONTH(B699)/3,0)</f>
        <v>Q3</v>
      </c>
      <c r="E699" t="s">
        <v>23</v>
      </c>
      <c r="F699" t="s">
        <v>11</v>
      </c>
      <c r="G699" t="s">
        <v>169</v>
      </c>
      <c r="H699" t="s">
        <v>45</v>
      </c>
      <c r="I699" t="s">
        <v>8</v>
      </c>
      <c r="J699" s="4">
        <v>3</v>
      </c>
      <c r="K699" s="3">
        <v>855.12</v>
      </c>
      <c r="L699">
        <v>5</v>
      </c>
      <c r="M699" s="2">
        <v>2437.09</v>
      </c>
      <c r="N699" s="2">
        <v>1934.44</v>
      </c>
      <c r="O699" s="2">
        <v>502.65</v>
      </c>
      <c r="P699" s="1">
        <f>(Sales_Data[[#This Row],[Profit]]/Sales_Data[[#This Row],[Revenue]])</f>
        <v>0.20625007693601793</v>
      </c>
    </row>
    <row r="700" spans="1:16" x14ac:dyDescent="0.35">
      <c r="A700" t="s">
        <v>592</v>
      </c>
      <c r="B700" s="5" t="s">
        <v>591</v>
      </c>
      <c r="C700" s="5" t="s">
        <v>235</v>
      </c>
      <c r="D700" s="5" t="str">
        <f>"Q"&amp;ROUNDUP(MONTH(B700)/3,0)</f>
        <v>Q3</v>
      </c>
      <c r="E700" t="s">
        <v>23</v>
      </c>
      <c r="F700" t="s">
        <v>52</v>
      </c>
      <c r="G700" t="s">
        <v>294</v>
      </c>
      <c r="H700" t="s">
        <v>14</v>
      </c>
      <c r="I700" t="s">
        <v>8</v>
      </c>
      <c r="J700" s="4">
        <v>7</v>
      </c>
      <c r="K700" s="3">
        <v>2690.88</v>
      </c>
      <c r="L700">
        <v>5</v>
      </c>
      <c r="M700" s="2">
        <v>17894.349999999999</v>
      </c>
      <c r="N700" s="2">
        <v>11307.77</v>
      </c>
      <c r="O700" s="2">
        <v>6586.58</v>
      </c>
      <c r="P700" s="1">
        <f>(Sales_Data[[#This Row],[Profit]]/Sales_Data[[#This Row],[Revenue]])</f>
        <v>0.36808154529222914</v>
      </c>
    </row>
    <row r="701" spans="1:16" x14ac:dyDescent="0.35">
      <c r="A701" t="s">
        <v>590</v>
      </c>
      <c r="B701" s="5" t="s">
        <v>589</v>
      </c>
      <c r="C701" s="5" t="s">
        <v>235</v>
      </c>
      <c r="D701" s="5" t="str">
        <f>"Q"&amp;ROUNDUP(MONTH(B701)/3,0)</f>
        <v>Q3</v>
      </c>
      <c r="E701" t="s">
        <v>23</v>
      </c>
      <c r="F701" t="s">
        <v>3</v>
      </c>
      <c r="G701" t="s">
        <v>68</v>
      </c>
      <c r="H701" t="s">
        <v>45</v>
      </c>
      <c r="I701" t="s">
        <v>8</v>
      </c>
      <c r="J701" s="4">
        <v>8</v>
      </c>
      <c r="K701" s="3">
        <v>846.5</v>
      </c>
      <c r="L701">
        <v>5</v>
      </c>
      <c r="M701" s="2">
        <v>6433.4</v>
      </c>
      <c r="N701" s="2">
        <v>4483.83</v>
      </c>
      <c r="O701" s="2">
        <v>1949.57</v>
      </c>
      <c r="P701" s="1">
        <f>(Sales_Data[[#This Row],[Profit]]/Sales_Data[[#This Row],[Revenue]])</f>
        <v>0.30303882861317499</v>
      </c>
    </row>
    <row r="702" spans="1:16" x14ac:dyDescent="0.35">
      <c r="A702" t="s">
        <v>588</v>
      </c>
      <c r="B702" s="5" t="s">
        <v>243</v>
      </c>
      <c r="C702" s="5" t="s">
        <v>235</v>
      </c>
      <c r="D702" s="5" t="str">
        <f>"Q"&amp;ROUNDUP(MONTH(B702)/3,0)</f>
        <v>Q3</v>
      </c>
      <c r="E702" t="s">
        <v>23</v>
      </c>
      <c r="F702" t="s">
        <v>22</v>
      </c>
      <c r="G702" t="s">
        <v>124</v>
      </c>
      <c r="H702" t="s">
        <v>9</v>
      </c>
      <c r="I702" t="s">
        <v>8</v>
      </c>
      <c r="J702" s="4">
        <v>3</v>
      </c>
      <c r="K702" s="3">
        <v>59067.54</v>
      </c>
      <c r="L702">
        <v>5</v>
      </c>
      <c r="M702" s="2">
        <v>168342.49</v>
      </c>
      <c r="N702" s="2">
        <v>137481.22</v>
      </c>
      <c r="O702" s="2">
        <v>30861.27</v>
      </c>
      <c r="P702" s="1">
        <f>(Sales_Data[[#This Row],[Profit]]/Sales_Data[[#This Row],[Revenue]])</f>
        <v>0.18332430511156156</v>
      </c>
    </row>
    <row r="703" spans="1:16" x14ac:dyDescent="0.35">
      <c r="A703" t="s">
        <v>587</v>
      </c>
      <c r="B703" s="5" t="s">
        <v>249</v>
      </c>
      <c r="C703" s="5" t="s">
        <v>235</v>
      </c>
      <c r="D703" s="5" t="str">
        <f>"Q"&amp;ROUNDUP(MONTH(B703)/3,0)</f>
        <v>Q3</v>
      </c>
      <c r="E703" t="s">
        <v>36</v>
      </c>
      <c r="F703" t="s">
        <v>3</v>
      </c>
      <c r="G703" t="s">
        <v>85</v>
      </c>
      <c r="H703" t="s">
        <v>45</v>
      </c>
      <c r="I703" t="s">
        <v>8</v>
      </c>
      <c r="J703" s="4">
        <v>1</v>
      </c>
      <c r="K703" s="3">
        <v>969.49</v>
      </c>
      <c r="L703">
        <v>5</v>
      </c>
      <c r="M703" s="2">
        <v>921.02</v>
      </c>
      <c r="N703" s="2">
        <v>701.9</v>
      </c>
      <c r="O703" s="2">
        <v>219.12</v>
      </c>
      <c r="P703" s="1">
        <f>(Sales_Data[[#This Row],[Profit]]/Sales_Data[[#This Row],[Revenue]])</f>
        <v>0.23791014310221278</v>
      </c>
    </row>
    <row r="704" spans="1:16" x14ac:dyDescent="0.35">
      <c r="A704" t="s">
        <v>586</v>
      </c>
      <c r="B704" s="5" t="s">
        <v>585</v>
      </c>
      <c r="C704" s="5" t="s">
        <v>235</v>
      </c>
      <c r="D704" s="5" t="str">
        <f>"Q"&amp;ROUNDUP(MONTH(B704)/3,0)</f>
        <v>Q3</v>
      </c>
      <c r="E704" t="s">
        <v>16</v>
      </c>
      <c r="F704" t="s">
        <v>63</v>
      </c>
      <c r="G704" t="s">
        <v>46</v>
      </c>
      <c r="H704" t="s">
        <v>50</v>
      </c>
      <c r="I704" t="s">
        <v>49</v>
      </c>
      <c r="J704" s="4">
        <v>3</v>
      </c>
      <c r="K704" s="3">
        <v>4191.1400000000003</v>
      </c>
      <c r="L704">
        <v>5</v>
      </c>
      <c r="M704" s="2">
        <v>11944.75</v>
      </c>
      <c r="N704" s="2">
        <v>8637.83</v>
      </c>
      <c r="O704" s="2">
        <v>3306.92</v>
      </c>
      <c r="P704" s="1">
        <f>(Sales_Data[[#This Row],[Profit]]/Sales_Data[[#This Row],[Revenue]])</f>
        <v>0.27685133636116288</v>
      </c>
    </row>
    <row r="705" spans="1:16" x14ac:dyDescent="0.35">
      <c r="A705" t="s">
        <v>584</v>
      </c>
      <c r="B705" s="5" t="s">
        <v>265</v>
      </c>
      <c r="C705" s="5" t="s">
        <v>235</v>
      </c>
      <c r="D705" s="5" t="str">
        <f>"Q"&amp;ROUNDUP(MONTH(B705)/3,0)</f>
        <v>Q3</v>
      </c>
      <c r="E705" t="s">
        <v>36</v>
      </c>
      <c r="F705" t="s">
        <v>56</v>
      </c>
      <c r="G705" t="s">
        <v>79</v>
      </c>
      <c r="H705" t="s">
        <v>9</v>
      </c>
      <c r="I705" t="s">
        <v>8</v>
      </c>
      <c r="J705" s="4">
        <v>7</v>
      </c>
      <c r="K705" s="3">
        <v>62690.39</v>
      </c>
      <c r="L705">
        <v>5</v>
      </c>
      <c r="M705" s="2">
        <v>416891.09</v>
      </c>
      <c r="N705" s="2">
        <v>328523.03000000003</v>
      </c>
      <c r="O705" s="2">
        <v>88368.06</v>
      </c>
      <c r="P705" s="1">
        <f>(Sales_Data[[#This Row],[Profit]]/Sales_Data[[#This Row],[Revenue]])</f>
        <v>0.21196917401137066</v>
      </c>
    </row>
    <row r="706" spans="1:16" x14ac:dyDescent="0.35">
      <c r="A706" t="s">
        <v>583</v>
      </c>
      <c r="B706" s="5" t="s">
        <v>249</v>
      </c>
      <c r="C706" s="5" t="s">
        <v>235</v>
      </c>
      <c r="D706" s="5" t="str">
        <f>"Q"&amp;ROUNDUP(MONTH(B706)/3,0)</f>
        <v>Q3</v>
      </c>
      <c r="E706" t="s">
        <v>23</v>
      </c>
      <c r="F706" t="s">
        <v>11</v>
      </c>
      <c r="G706" t="s">
        <v>159</v>
      </c>
      <c r="H706" t="s">
        <v>34</v>
      </c>
      <c r="I706" t="s">
        <v>8</v>
      </c>
      <c r="J706" s="4">
        <v>4</v>
      </c>
      <c r="K706" s="3">
        <v>24919.39</v>
      </c>
      <c r="L706">
        <v>5</v>
      </c>
      <c r="M706" s="2">
        <v>94693.68</v>
      </c>
      <c r="N706" s="2">
        <v>79132.210000000006</v>
      </c>
      <c r="O706" s="2">
        <v>15561.47</v>
      </c>
      <c r="P706" s="1">
        <f>(Sales_Data[[#This Row],[Profit]]/Sales_Data[[#This Row],[Revenue]])</f>
        <v>0.16433483206059793</v>
      </c>
    </row>
    <row r="707" spans="1:16" x14ac:dyDescent="0.35">
      <c r="A707" t="s">
        <v>582</v>
      </c>
      <c r="B707" s="5" t="s">
        <v>253</v>
      </c>
      <c r="C707" s="5" t="s">
        <v>235</v>
      </c>
      <c r="D707" s="5" t="str">
        <f>"Q"&amp;ROUNDUP(MONTH(B707)/3,0)</f>
        <v>Q3</v>
      </c>
      <c r="E707" t="s">
        <v>23</v>
      </c>
      <c r="F707" t="s">
        <v>63</v>
      </c>
      <c r="G707" t="s">
        <v>214</v>
      </c>
      <c r="H707" t="s">
        <v>1</v>
      </c>
      <c r="I707" t="s">
        <v>0</v>
      </c>
      <c r="J707" s="4">
        <v>7</v>
      </c>
      <c r="K707" s="3">
        <v>473.65</v>
      </c>
      <c r="L707">
        <v>5</v>
      </c>
      <c r="M707" s="2">
        <v>3149.77</v>
      </c>
      <c r="N707" s="2">
        <v>2047.68</v>
      </c>
      <c r="O707" s="2">
        <v>1102.0899999999999</v>
      </c>
      <c r="P707" s="1">
        <f>(Sales_Data[[#This Row],[Profit]]/Sales_Data[[#This Row],[Revenue]])</f>
        <v>0.34989538918714697</v>
      </c>
    </row>
    <row r="708" spans="1:16" x14ac:dyDescent="0.35">
      <c r="A708" t="s">
        <v>581</v>
      </c>
      <c r="B708" s="5" t="s">
        <v>241</v>
      </c>
      <c r="C708" s="5" t="s">
        <v>235</v>
      </c>
      <c r="D708" s="5" t="str">
        <f>"Q"&amp;ROUNDUP(MONTH(B708)/3,0)</f>
        <v>Q3</v>
      </c>
      <c r="E708" t="s">
        <v>23</v>
      </c>
      <c r="F708" t="s">
        <v>22</v>
      </c>
      <c r="G708" t="s">
        <v>15</v>
      </c>
      <c r="H708" t="s">
        <v>45</v>
      </c>
      <c r="I708" t="s">
        <v>8</v>
      </c>
      <c r="J708" s="4">
        <v>6</v>
      </c>
      <c r="K708" s="3">
        <v>852.34</v>
      </c>
      <c r="L708">
        <v>5</v>
      </c>
      <c r="M708" s="2">
        <v>4858.34</v>
      </c>
      <c r="N708" s="2">
        <v>2710.36</v>
      </c>
      <c r="O708" s="2">
        <v>2147.98</v>
      </c>
      <c r="P708" s="1">
        <f>(Sales_Data[[#This Row],[Profit]]/Sales_Data[[#This Row],[Revenue]])</f>
        <v>0.44212220635031718</v>
      </c>
    </row>
    <row r="709" spans="1:16" x14ac:dyDescent="0.35">
      <c r="A709" t="s">
        <v>580</v>
      </c>
      <c r="B709" s="5" t="s">
        <v>579</v>
      </c>
      <c r="C709" s="5" t="s">
        <v>235</v>
      </c>
      <c r="D709" s="5" t="str">
        <f>"Q"&amp;ROUNDUP(MONTH(B709)/3,0)</f>
        <v>Q3</v>
      </c>
      <c r="E709" t="s">
        <v>23</v>
      </c>
      <c r="F709" t="s">
        <v>11</v>
      </c>
      <c r="G709" t="s">
        <v>220</v>
      </c>
      <c r="H709" t="s">
        <v>14</v>
      </c>
      <c r="I709" t="s">
        <v>8</v>
      </c>
      <c r="J709" s="4">
        <v>2</v>
      </c>
      <c r="K709" s="3">
        <v>2359.23</v>
      </c>
      <c r="L709">
        <v>5</v>
      </c>
      <c r="M709" s="2">
        <v>4482.54</v>
      </c>
      <c r="N709" s="2">
        <v>2795.95</v>
      </c>
      <c r="O709" s="2">
        <v>1686.59</v>
      </c>
      <c r="P709" s="1">
        <f>(Sales_Data[[#This Row],[Profit]]/Sales_Data[[#This Row],[Revenue]])</f>
        <v>0.37625765748883444</v>
      </c>
    </row>
    <row r="710" spans="1:16" x14ac:dyDescent="0.35">
      <c r="A710" t="s">
        <v>578</v>
      </c>
      <c r="B710" s="5" t="s">
        <v>270</v>
      </c>
      <c r="C710" s="5" t="s">
        <v>235</v>
      </c>
      <c r="D710" s="5" t="str">
        <f>"Q"&amp;ROUNDUP(MONTH(B710)/3,0)</f>
        <v>Q3</v>
      </c>
      <c r="E710" t="s">
        <v>23</v>
      </c>
      <c r="F710" t="s">
        <v>56</v>
      </c>
      <c r="G710" t="s">
        <v>101</v>
      </c>
      <c r="H710" t="s">
        <v>1</v>
      </c>
      <c r="I710" t="s">
        <v>0</v>
      </c>
      <c r="J710" s="4">
        <v>2</v>
      </c>
      <c r="K710" s="3">
        <v>477.12</v>
      </c>
      <c r="L710">
        <v>5</v>
      </c>
      <c r="M710" s="2">
        <v>906.53</v>
      </c>
      <c r="N710" s="2">
        <v>609.33000000000004</v>
      </c>
      <c r="O710" s="2">
        <v>297.2</v>
      </c>
      <c r="P710" s="1">
        <f>(Sales_Data[[#This Row],[Profit]]/Sales_Data[[#This Row],[Revenue]])</f>
        <v>0.32784353523876758</v>
      </c>
    </row>
    <row r="711" spans="1:16" x14ac:dyDescent="0.35">
      <c r="A711" t="s">
        <v>577</v>
      </c>
      <c r="B711" s="5" t="s">
        <v>547</v>
      </c>
      <c r="C711" s="5" t="s">
        <v>217</v>
      </c>
      <c r="D711" s="5" t="str">
        <f>"Q"&amp;ROUNDUP(MONTH(B711)/3,0)</f>
        <v>Q2</v>
      </c>
      <c r="E711" t="s">
        <v>36</v>
      </c>
      <c r="F711" t="s">
        <v>63</v>
      </c>
      <c r="G711" t="s">
        <v>71</v>
      </c>
      <c r="H711" t="s">
        <v>78</v>
      </c>
      <c r="I711" t="s">
        <v>19</v>
      </c>
      <c r="J711" s="4">
        <v>5</v>
      </c>
      <c r="K711" s="3">
        <v>113.54</v>
      </c>
      <c r="L711">
        <v>5</v>
      </c>
      <c r="M711" s="2">
        <v>539.32000000000005</v>
      </c>
      <c r="N711" s="2">
        <v>374.16</v>
      </c>
      <c r="O711" s="2">
        <v>165.16</v>
      </c>
      <c r="P711" s="1">
        <f>(Sales_Data[[#This Row],[Profit]]/Sales_Data[[#This Row],[Revenue]])</f>
        <v>0.30623748423941255</v>
      </c>
    </row>
    <row r="712" spans="1:16" x14ac:dyDescent="0.35">
      <c r="A712" t="s">
        <v>576</v>
      </c>
      <c r="B712" s="5" t="s">
        <v>575</v>
      </c>
      <c r="C712" s="5" t="s">
        <v>217</v>
      </c>
      <c r="D712" s="5" t="str">
        <f>"Q"&amp;ROUNDUP(MONTH(B712)/3,0)</f>
        <v>Q2</v>
      </c>
      <c r="E712" t="s">
        <v>23</v>
      </c>
      <c r="F712" t="s">
        <v>63</v>
      </c>
      <c r="G712" t="s">
        <v>60</v>
      </c>
      <c r="H712" t="s">
        <v>9</v>
      </c>
      <c r="I712" t="s">
        <v>8</v>
      </c>
      <c r="J712" s="4">
        <v>5</v>
      </c>
      <c r="K712" s="3">
        <v>63809.120000000003</v>
      </c>
      <c r="L712">
        <v>5</v>
      </c>
      <c r="M712" s="2">
        <v>303093.32</v>
      </c>
      <c r="N712" s="2">
        <v>182215.54</v>
      </c>
      <c r="O712" s="2">
        <v>120877.78</v>
      </c>
      <c r="P712" s="1">
        <f>(Sales_Data[[#This Row],[Profit]]/Sales_Data[[#This Row],[Revenue]])</f>
        <v>0.39881373829024008</v>
      </c>
    </row>
    <row r="713" spans="1:16" x14ac:dyDescent="0.35">
      <c r="A713" t="s">
        <v>574</v>
      </c>
      <c r="B713" s="5" t="s">
        <v>221</v>
      </c>
      <c r="C713" s="5" t="s">
        <v>217</v>
      </c>
      <c r="D713" s="5" t="str">
        <f>"Q"&amp;ROUNDUP(MONTH(B713)/3,0)</f>
        <v>Q2</v>
      </c>
      <c r="E713" t="s">
        <v>4</v>
      </c>
      <c r="F713" t="s">
        <v>11</v>
      </c>
      <c r="G713" t="s">
        <v>71</v>
      </c>
      <c r="H713" t="s">
        <v>1</v>
      </c>
      <c r="I713" t="s">
        <v>0</v>
      </c>
      <c r="J713" s="4">
        <v>7</v>
      </c>
      <c r="K713" s="3">
        <v>506.38</v>
      </c>
      <c r="L713">
        <v>5</v>
      </c>
      <c r="M713" s="2">
        <v>3367.43</v>
      </c>
      <c r="N713" s="2">
        <v>2301.69</v>
      </c>
      <c r="O713" s="2">
        <v>1065.74</v>
      </c>
      <c r="P713" s="1">
        <f>(Sales_Data[[#This Row],[Profit]]/Sales_Data[[#This Row],[Revenue]])</f>
        <v>0.31648467822642196</v>
      </c>
    </row>
    <row r="714" spans="1:16" x14ac:dyDescent="0.35">
      <c r="A714" t="s">
        <v>573</v>
      </c>
      <c r="B714" s="5" t="s">
        <v>572</v>
      </c>
      <c r="C714" s="5" t="s">
        <v>217</v>
      </c>
      <c r="D714" s="5" t="str">
        <f>"Q"&amp;ROUNDUP(MONTH(B714)/3,0)</f>
        <v>Q2</v>
      </c>
      <c r="E714" t="s">
        <v>23</v>
      </c>
      <c r="F714" t="s">
        <v>56</v>
      </c>
      <c r="G714" t="s">
        <v>66</v>
      </c>
      <c r="H714" t="s">
        <v>20</v>
      </c>
      <c r="I714" t="s">
        <v>19</v>
      </c>
      <c r="J714" s="4">
        <v>4</v>
      </c>
      <c r="K714" s="3">
        <v>29.02</v>
      </c>
      <c r="L714">
        <v>5</v>
      </c>
      <c r="M714" s="2">
        <v>110.28</v>
      </c>
      <c r="N714" s="2">
        <v>91.3</v>
      </c>
      <c r="O714" s="2">
        <v>18.98</v>
      </c>
      <c r="P714" s="1">
        <f>(Sales_Data[[#This Row],[Profit]]/Sales_Data[[#This Row],[Revenue]])</f>
        <v>0.17210736307580704</v>
      </c>
    </row>
    <row r="715" spans="1:16" x14ac:dyDescent="0.35">
      <c r="A715" t="s">
        <v>571</v>
      </c>
      <c r="B715" s="5" t="s">
        <v>545</v>
      </c>
      <c r="C715" s="5" t="s">
        <v>217</v>
      </c>
      <c r="D715" s="5" t="str">
        <f>"Q"&amp;ROUNDUP(MONTH(B715)/3,0)</f>
        <v>Q2</v>
      </c>
      <c r="E715" t="s">
        <v>23</v>
      </c>
      <c r="F715" t="s">
        <v>56</v>
      </c>
      <c r="G715" t="s">
        <v>191</v>
      </c>
      <c r="H715" t="s">
        <v>9</v>
      </c>
      <c r="I715" t="s">
        <v>8</v>
      </c>
      <c r="J715" s="4">
        <v>3</v>
      </c>
      <c r="K715" s="3">
        <v>63673.84</v>
      </c>
      <c r="L715">
        <v>5</v>
      </c>
      <c r="M715" s="2">
        <v>181470.44</v>
      </c>
      <c r="N715" s="2">
        <v>127800.67</v>
      </c>
      <c r="O715" s="2">
        <v>53669.77</v>
      </c>
      <c r="P715" s="1">
        <f>(Sales_Data[[#This Row],[Profit]]/Sales_Data[[#This Row],[Revenue]])</f>
        <v>0.29574937934795331</v>
      </c>
    </row>
    <row r="716" spans="1:16" x14ac:dyDescent="0.35">
      <c r="A716" t="s">
        <v>570</v>
      </c>
      <c r="B716" s="5" t="s">
        <v>227</v>
      </c>
      <c r="C716" s="5" t="s">
        <v>217</v>
      </c>
      <c r="D716" s="5" t="str">
        <f>"Q"&amp;ROUNDUP(MONTH(B716)/3,0)</f>
        <v>Q2</v>
      </c>
      <c r="E716" t="s">
        <v>23</v>
      </c>
      <c r="F716" t="s">
        <v>63</v>
      </c>
      <c r="G716" t="s">
        <v>238</v>
      </c>
      <c r="H716" t="s">
        <v>59</v>
      </c>
      <c r="I716" t="s">
        <v>0</v>
      </c>
      <c r="J716" s="4">
        <v>3</v>
      </c>
      <c r="K716" s="3">
        <v>1520.1</v>
      </c>
      <c r="L716">
        <v>5</v>
      </c>
      <c r="M716" s="2">
        <v>4332.28</v>
      </c>
      <c r="N716" s="2">
        <v>2416.85</v>
      </c>
      <c r="O716" s="2">
        <v>1915.43</v>
      </c>
      <c r="P716" s="1">
        <f>(Sales_Data[[#This Row],[Profit]]/Sales_Data[[#This Row],[Revenue]])</f>
        <v>0.44212977923864571</v>
      </c>
    </row>
    <row r="717" spans="1:16" x14ac:dyDescent="0.35">
      <c r="A717" t="s">
        <v>569</v>
      </c>
      <c r="B717" s="5" t="s">
        <v>551</v>
      </c>
      <c r="C717" s="5" t="s">
        <v>217</v>
      </c>
      <c r="D717" s="5" t="str">
        <f>"Q"&amp;ROUNDUP(MONTH(B717)/3,0)</f>
        <v>Q2</v>
      </c>
      <c r="E717" t="s">
        <v>23</v>
      </c>
      <c r="F717" t="s">
        <v>11</v>
      </c>
      <c r="G717" t="s">
        <v>191</v>
      </c>
      <c r="H717" t="s">
        <v>59</v>
      </c>
      <c r="I717" t="s">
        <v>0</v>
      </c>
      <c r="J717" s="4">
        <v>3</v>
      </c>
      <c r="K717" s="3">
        <v>1512.37</v>
      </c>
      <c r="L717">
        <v>5</v>
      </c>
      <c r="M717" s="2">
        <v>4310.25</v>
      </c>
      <c r="N717" s="2">
        <v>2472.42</v>
      </c>
      <c r="O717" s="2">
        <v>1837.83</v>
      </c>
      <c r="P717" s="1">
        <f>(Sales_Data[[#This Row],[Profit]]/Sales_Data[[#This Row],[Revenue]])</f>
        <v>0.42638594049069078</v>
      </c>
    </row>
    <row r="718" spans="1:16" x14ac:dyDescent="0.35">
      <c r="A718" t="s">
        <v>568</v>
      </c>
      <c r="B718" s="5" t="s">
        <v>567</v>
      </c>
      <c r="C718" s="5" t="s">
        <v>217</v>
      </c>
      <c r="D718" s="5" t="str">
        <f>"Q"&amp;ROUNDUP(MONTH(B718)/3,0)</f>
        <v>Q2</v>
      </c>
      <c r="E718" t="s">
        <v>16</v>
      </c>
      <c r="F718" t="s">
        <v>56</v>
      </c>
      <c r="G718" t="s">
        <v>82</v>
      </c>
      <c r="H718" t="s">
        <v>34</v>
      </c>
      <c r="I718" t="s">
        <v>8</v>
      </c>
      <c r="J718" s="4">
        <v>5</v>
      </c>
      <c r="K718" s="3">
        <v>26922.94</v>
      </c>
      <c r="L718">
        <v>5</v>
      </c>
      <c r="M718" s="2">
        <v>127883.96</v>
      </c>
      <c r="N718" s="2">
        <v>83843.47</v>
      </c>
      <c r="O718" s="2">
        <v>44040.49</v>
      </c>
      <c r="P718" s="1">
        <f>(Sales_Data[[#This Row],[Profit]]/Sales_Data[[#This Row],[Revenue]])</f>
        <v>0.34437852878500164</v>
      </c>
    </row>
    <row r="719" spans="1:16" x14ac:dyDescent="0.35">
      <c r="A719" t="s">
        <v>566</v>
      </c>
      <c r="B719" s="5" t="s">
        <v>565</v>
      </c>
      <c r="C719" s="5" t="s">
        <v>217</v>
      </c>
      <c r="D719" s="5" t="str">
        <f>"Q"&amp;ROUNDUP(MONTH(B719)/3,0)</f>
        <v>Q2</v>
      </c>
      <c r="E719" t="s">
        <v>4</v>
      </c>
      <c r="F719" t="s">
        <v>11</v>
      </c>
      <c r="G719" t="s">
        <v>42</v>
      </c>
      <c r="H719" t="s">
        <v>59</v>
      </c>
      <c r="I719" t="s">
        <v>0</v>
      </c>
      <c r="J719" s="4">
        <v>7</v>
      </c>
      <c r="K719" s="3">
        <v>1465.76</v>
      </c>
      <c r="L719">
        <v>5</v>
      </c>
      <c r="M719" s="2">
        <v>9747.2999999999993</v>
      </c>
      <c r="N719" s="2">
        <v>7684.22</v>
      </c>
      <c r="O719" s="2">
        <v>2063.08</v>
      </c>
      <c r="P719" s="1">
        <f>(Sales_Data[[#This Row],[Profit]]/Sales_Data[[#This Row],[Revenue]])</f>
        <v>0.21165656130415603</v>
      </c>
    </row>
    <row r="720" spans="1:16" x14ac:dyDescent="0.35">
      <c r="A720" t="s">
        <v>564</v>
      </c>
      <c r="B720" s="5" t="s">
        <v>563</v>
      </c>
      <c r="C720" s="5" t="s">
        <v>217</v>
      </c>
      <c r="D720" s="5" t="str">
        <f>"Q"&amp;ROUNDUP(MONTH(B720)/3,0)</f>
        <v>Q2</v>
      </c>
      <c r="E720" t="s">
        <v>36</v>
      </c>
      <c r="F720" t="s">
        <v>11</v>
      </c>
      <c r="G720" t="s">
        <v>31</v>
      </c>
      <c r="H720" t="s">
        <v>1</v>
      </c>
      <c r="I720" t="s">
        <v>0</v>
      </c>
      <c r="J720" s="4">
        <v>3</v>
      </c>
      <c r="K720" s="3">
        <v>539.19000000000005</v>
      </c>
      <c r="L720">
        <v>5</v>
      </c>
      <c r="M720" s="2">
        <v>1536.69</v>
      </c>
      <c r="N720" s="2">
        <v>1100.9000000000001</v>
      </c>
      <c r="O720" s="2">
        <v>435.79</v>
      </c>
      <c r="P720" s="1">
        <f>(Sales_Data[[#This Row],[Profit]]/Sales_Data[[#This Row],[Revenue]])</f>
        <v>0.28359005394712011</v>
      </c>
    </row>
    <row r="721" spans="1:16" x14ac:dyDescent="0.35">
      <c r="A721" t="s">
        <v>562</v>
      </c>
      <c r="B721" s="5" t="s">
        <v>225</v>
      </c>
      <c r="C721" s="5" t="s">
        <v>217</v>
      </c>
      <c r="D721" s="5" t="str">
        <f>"Q"&amp;ROUNDUP(MONTH(B721)/3,0)</f>
        <v>Q2</v>
      </c>
      <c r="E721" t="s">
        <v>16</v>
      </c>
      <c r="F721" t="s">
        <v>63</v>
      </c>
      <c r="G721" t="s">
        <v>21</v>
      </c>
      <c r="H721" t="s">
        <v>111</v>
      </c>
      <c r="I721" t="s">
        <v>49</v>
      </c>
      <c r="J721" s="4">
        <v>5</v>
      </c>
      <c r="K721" s="3">
        <v>7855.41</v>
      </c>
      <c r="L721">
        <v>5</v>
      </c>
      <c r="M721" s="2">
        <v>37313.199999999997</v>
      </c>
      <c r="N721" s="2">
        <v>21066.720000000001</v>
      </c>
      <c r="O721" s="2">
        <v>16246.48</v>
      </c>
      <c r="P721" s="1">
        <f>(Sales_Data[[#This Row],[Profit]]/Sales_Data[[#This Row],[Revenue]])</f>
        <v>0.43540838094829715</v>
      </c>
    </row>
    <row r="722" spans="1:16" x14ac:dyDescent="0.35">
      <c r="A722" t="s">
        <v>561</v>
      </c>
      <c r="B722" s="5" t="s">
        <v>560</v>
      </c>
      <c r="C722" s="5" t="s">
        <v>217</v>
      </c>
      <c r="D722" s="5" t="str">
        <f>"Q"&amp;ROUNDUP(MONTH(B722)/3,0)</f>
        <v>Q2</v>
      </c>
      <c r="E722" t="s">
        <v>23</v>
      </c>
      <c r="F722" t="s">
        <v>3</v>
      </c>
      <c r="G722" t="s">
        <v>128</v>
      </c>
      <c r="H722" t="s">
        <v>78</v>
      </c>
      <c r="I722" t="s">
        <v>19</v>
      </c>
      <c r="J722" s="4">
        <v>8</v>
      </c>
      <c r="K722" s="3">
        <v>121.27</v>
      </c>
      <c r="L722">
        <v>5</v>
      </c>
      <c r="M722" s="2">
        <v>921.65</v>
      </c>
      <c r="N722" s="2">
        <v>637.21</v>
      </c>
      <c r="O722" s="2">
        <v>284.44</v>
      </c>
      <c r="P722" s="1">
        <f>(Sales_Data[[#This Row],[Profit]]/Sales_Data[[#This Row],[Revenue]])</f>
        <v>0.30862040904898824</v>
      </c>
    </row>
    <row r="723" spans="1:16" x14ac:dyDescent="0.35">
      <c r="A723" t="s">
        <v>559</v>
      </c>
      <c r="B723" s="5" t="s">
        <v>558</v>
      </c>
      <c r="C723" s="5" t="s">
        <v>217</v>
      </c>
      <c r="D723" s="5" t="str">
        <f>"Q"&amp;ROUNDUP(MONTH(B723)/3,0)</f>
        <v>Q2</v>
      </c>
      <c r="E723" t="s">
        <v>4</v>
      </c>
      <c r="F723" t="s">
        <v>11</v>
      </c>
      <c r="G723" t="s">
        <v>147</v>
      </c>
      <c r="H723" t="s">
        <v>111</v>
      </c>
      <c r="I723" t="s">
        <v>49</v>
      </c>
      <c r="J723" s="4">
        <v>5</v>
      </c>
      <c r="K723" s="3">
        <v>7426.51</v>
      </c>
      <c r="L723">
        <v>5</v>
      </c>
      <c r="M723" s="2">
        <v>35275.919999999998</v>
      </c>
      <c r="N723" s="2">
        <v>26032.03</v>
      </c>
      <c r="O723" s="2">
        <v>9243.89</v>
      </c>
      <c r="P723" s="1">
        <f>(Sales_Data[[#This Row],[Profit]]/Sales_Data[[#This Row],[Revenue]])</f>
        <v>0.26204532723739027</v>
      </c>
    </row>
    <row r="724" spans="1:16" x14ac:dyDescent="0.35">
      <c r="A724" t="s">
        <v>557</v>
      </c>
      <c r="B724" s="5" t="s">
        <v>555</v>
      </c>
      <c r="C724" s="5" t="s">
        <v>217</v>
      </c>
      <c r="D724" s="5" t="str">
        <f>"Q"&amp;ROUNDUP(MONTH(B724)/3,0)</f>
        <v>Q2</v>
      </c>
      <c r="E724" t="s">
        <v>16</v>
      </c>
      <c r="F724" t="s">
        <v>56</v>
      </c>
      <c r="G724" t="s">
        <v>46</v>
      </c>
      <c r="H724" t="s">
        <v>20</v>
      </c>
      <c r="I724" t="s">
        <v>19</v>
      </c>
      <c r="J724" s="4">
        <v>4</v>
      </c>
      <c r="K724" s="3">
        <v>27.12</v>
      </c>
      <c r="L724">
        <v>5</v>
      </c>
      <c r="M724" s="2">
        <v>103.06</v>
      </c>
      <c r="N724" s="2">
        <v>67.510000000000005</v>
      </c>
      <c r="O724" s="2">
        <v>35.549999999999997</v>
      </c>
      <c r="P724" s="1">
        <f>(Sales_Data[[#This Row],[Profit]]/Sales_Data[[#This Row],[Revenue]])</f>
        <v>0.34494469241218706</v>
      </c>
    </row>
    <row r="725" spans="1:16" x14ac:dyDescent="0.35">
      <c r="A725" t="s">
        <v>556</v>
      </c>
      <c r="B725" s="5" t="s">
        <v>555</v>
      </c>
      <c r="C725" s="5" t="s">
        <v>217</v>
      </c>
      <c r="D725" s="5" t="str">
        <f>"Q"&amp;ROUNDUP(MONTH(B725)/3,0)</f>
        <v>Q2</v>
      </c>
      <c r="E725" t="s">
        <v>36</v>
      </c>
      <c r="F725" t="s">
        <v>22</v>
      </c>
      <c r="G725" t="s">
        <v>264</v>
      </c>
      <c r="H725" t="s">
        <v>50</v>
      </c>
      <c r="I725" t="s">
        <v>49</v>
      </c>
      <c r="J725" s="4">
        <v>5</v>
      </c>
      <c r="K725" s="3">
        <v>4797.96</v>
      </c>
      <c r="L725">
        <v>5</v>
      </c>
      <c r="M725" s="2">
        <v>22790.31</v>
      </c>
      <c r="N725" s="2">
        <v>13258.51</v>
      </c>
      <c r="O725" s="2">
        <v>9531.7999999999993</v>
      </c>
      <c r="P725" s="1">
        <f>(Sales_Data[[#This Row],[Profit]]/Sales_Data[[#This Row],[Revenue]])</f>
        <v>0.4182391551497105</v>
      </c>
    </row>
    <row r="726" spans="1:16" x14ac:dyDescent="0.35">
      <c r="A726" t="s">
        <v>554</v>
      </c>
      <c r="B726" s="5" t="s">
        <v>553</v>
      </c>
      <c r="C726" s="5" t="s">
        <v>217</v>
      </c>
      <c r="D726" s="5" t="str">
        <f>"Q"&amp;ROUNDUP(MONTH(B726)/3,0)</f>
        <v>Q2</v>
      </c>
      <c r="E726" t="s">
        <v>16</v>
      </c>
      <c r="F726" t="s">
        <v>56</v>
      </c>
      <c r="G726" t="s">
        <v>10</v>
      </c>
      <c r="H726" t="s">
        <v>45</v>
      </c>
      <c r="I726" t="s">
        <v>8</v>
      </c>
      <c r="J726" s="4">
        <v>2</v>
      </c>
      <c r="K726" s="3">
        <v>870.96</v>
      </c>
      <c r="L726">
        <v>5</v>
      </c>
      <c r="M726" s="2">
        <v>1654.82</v>
      </c>
      <c r="N726" s="2">
        <v>1064.93</v>
      </c>
      <c r="O726" s="2">
        <v>589.89</v>
      </c>
      <c r="P726" s="1">
        <f>(Sales_Data[[#This Row],[Profit]]/Sales_Data[[#This Row],[Revenue]])</f>
        <v>0.35646777292998633</v>
      </c>
    </row>
    <row r="727" spans="1:16" x14ac:dyDescent="0.35">
      <c r="A727" t="s">
        <v>552</v>
      </c>
      <c r="B727" s="5" t="s">
        <v>551</v>
      </c>
      <c r="C727" s="5" t="s">
        <v>217</v>
      </c>
      <c r="D727" s="5" t="str">
        <f>"Q"&amp;ROUNDUP(MONTH(B727)/3,0)</f>
        <v>Q2</v>
      </c>
      <c r="E727" t="s">
        <v>23</v>
      </c>
      <c r="F727" t="s">
        <v>52</v>
      </c>
      <c r="G727" t="s">
        <v>85</v>
      </c>
      <c r="H727" t="s">
        <v>20</v>
      </c>
      <c r="I727" t="s">
        <v>19</v>
      </c>
      <c r="J727" s="4">
        <v>7</v>
      </c>
      <c r="K727" s="3">
        <v>27.03</v>
      </c>
      <c r="L727">
        <v>5</v>
      </c>
      <c r="M727" s="2">
        <v>179.75</v>
      </c>
      <c r="N727" s="2">
        <v>119.31</v>
      </c>
      <c r="O727" s="2">
        <v>60.44</v>
      </c>
      <c r="P727" s="1">
        <f>(Sales_Data[[#This Row],[Profit]]/Sales_Data[[#This Row],[Revenue]])</f>
        <v>0.33624478442280942</v>
      </c>
    </row>
    <row r="728" spans="1:16" x14ac:dyDescent="0.35">
      <c r="A728" t="s">
        <v>550</v>
      </c>
      <c r="B728" s="5" t="s">
        <v>549</v>
      </c>
      <c r="C728" s="5" t="s">
        <v>217</v>
      </c>
      <c r="D728" s="5" t="str">
        <f>"Q"&amp;ROUNDUP(MONTH(B728)/3,0)</f>
        <v>Q2</v>
      </c>
      <c r="E728" t="s">
        <v>36</v>
      </c>
      <c r="F728" t="s">
        <v>11</v>
      </c>
      <c r="G728" t="s">
        <v>142</v>
      </c>
      <c r="H728" t="s">
        <v>111</v>
      </c>
      <c r="I728" t="s">
        <v>49</v>
      </c>
      <c r="J728" s="4">
        <v>7</v>
      </c>
      <c r="K728" s="3">
        <v>7756.81</v>
      </c>
      <c r="L728">
        <v>5</v>
      </c>
      <c r="M728" s="2">
        <v>51582.79</v>
      </c>
      <c r="N728" s="2">
        <v>37467.78</v>
      </c>
      <c r="O728" s="2">
        <v>14115.01</v>
      </c>
      <c r="P728" s="1">
        <f>(Sales_Data[[#This Row],[Profit]]/Sales_Data[[#This Row],[Revenue]])</f>
        <v>0.27363797111400917</v>
      </c>
    </row>
    <row r="729" spans="1:16" x14ac:dyDescent="0.35">
      <c r="A729" t="s">
        <v>548</v>
      </c>
      <c r="B729" s="5" t="s">
        <v>547</v>
      </c>
      <c r="C729" s="5" t="s">
        <v>217</v>
      </c>
      <c r="D729" s="5" t="str">
        <f>"Q"&amp;ROUNDUP(MONTH(B729)/3,0)</f>
        <v>Q2</v>
      </c>
      <c r="E729" t="s">
        <v>23</v>
      </c>
      <c r="F729" t="s">
        <v>22</v>
      </c>
      <c r="G729" t="s">
        <v>214</v>
      </c>
      <c r="H729" t="s">
        <v>50</v>
      </c>
      <c r="I729" t="s">
        <v>49</v>
      </c>
      <c r="J729" s="4">
        <v>4</v>
      </c>
      <c r="K729" s="3">
        <v>4085.47</v>
      </c>
      <c r="L729">
        <v>5</v>
      </c>
      <c r="M729" s="2">
        <v>15524.79</v>
      </c>
      <c r="N729" s="2">
        <v>11785.03</v>
      </c>
      <c r="O729" s="2">
        <v>3739.76</v>
      </c>
      <c r="P729" s="1">
        <f>(Sales_Data[[#This Row],[Profit]]/Sales_Data[[#This Row],[Revenue]])</f>
        <v>0.24088957080900933</v>
      </c>
    </row>
    <row r="730" spans="1:16" x14ac:dyDescent="0.35">
      <c r="A730" t="s">
        <v>546</v>
      </c>
      <c r="B730" s="5" t="s">
        <v>545</v>
      </c>
      <c r="C730" s="5" t="s">
        <v>217</v>
      </c>
      <c r="D730" s="5" t="str">
        <f>"Q"&amp;ROUNDUP(MONTH(B730)/3,0)</f>
        <v>Q2</v>
      </c>
      <c r="E730" t="s">
        <v>36</v>
      </c>
      <c r="F730" t="s">
        <v>22</v>
      </c>
      <c r="G730" t="s">
        <v>137</v>
      </c>
      <c r="H730" t="s">
        <v>1</v>
      </c>
      <c r="I730" t="s">
        <v>0</v>
      </c>
      <c r="J730" s="4">
        <v>2</v>
      </c>
      <c r="K730" s="3">
        <v>534.24</v>
      </c>
      <c r="L730">
        <v>5</v>
      </c>
      <c r="M730" s="2">
        <v>1015.06</v>
      </c>
      <c r="N730" s="2">
        <v>764.86</v>
      </c>
      <c r="O730" s="2">
        <v>250.2</v>
      </c>
      <c r="P730" s="1">
        <f>(Sales_Data[[#This Row],[Profit]]/Sales_Data[[#This Row],[Revenue]])</f>
        <v>0.24648789234133944</v>
      </c>
    </row>
    <row r="731" spans="1:16" x14ac:dyDescent="0.35">
      <c r="A731" t="s">
        <v>544</v>
      </c>
      <c r="B731" s="5" t="s">
        <v>221</v>
      </c>
      <c r="C731" s="5" t="s">
        <v>217</v>
      </c>
      <c r="D731" s="5" t="str">
        <f>"Q"&amp;ROUNDUP(MONTH(B731)/3,0)</f>
        <v>Q2</v>
      </c>
      <c r="E731" t="s">
        <v>4</v>
      </c>
      <c r="F731" t="s">
        <v>11</v>
      </c>
      <c r="G731" t="s">
        <v>124</v>
      </c>
      <c r="H731" t="s">
        <v>20</v>
      </c>
      <c r="I731" t="s">
        <v>19</v>
      </c>
      <c r="J731" s="4">
        <v>6</v>
      </c>
      <c r="K731" s="3">
        <v>29.5</v>
      </c>
      <c r="L731">
        <v>5</v>
      </c>
      <c r="M731" s="2">
        <v>168.15</v>
      </c>
      <c r="N731" s="2">
        <v>112.43</v>
      </c>
      <c r="O731" s="2">
        <v>55.72</v>
      </c>
      <c r="P731" s="1">
        <f>(Sales_Data[[#This Row],[Profit]]/Sales_Data[[#This Row],[Revenue]])</f>
        <v>0.33137079988105855</v>
      </c>
    </row>
    <row r="732" spans="1:16" x14ac:dyDescent="0.35">
      <c r="A732" t="s">
        <v>543</v>
      </c>
      <c r="B732" s="5" t="s">
        <v>536</v>
      </c>
      <c r="C732" s="5" t="s">
        <v>184</v>
      </c>
      <c r="D732" s="5" t="str">
        <f>"Q"&amp;ROUNDUP(MONTH(B732)/3,0)</f>
        <v>Q1</v>
      </c>
      <c r="E732" t="s">
        <v>4</v>
      </c>
      <c r="F732" t="s">
        <v>3</v>
      </c>
      <c r="G732" t="s">
        <v>82</v>
      </c>
      <c r="H732" t="s">
        <v>9</v>
      </c>
      <c r="I732" t="s">
        <v>8</v>
      </c>
      <c r="J732" s="4">
        <v>6</v>
      </c>
      <c r="K732" s="3">
        <v>63866.89</v>
      </c>
      <c r="L732">
        <v>5</v>
      </c>
      <c r="M732" s="2">
        <v>364041.27</v>
      </c>
      <c r="N732" s="2">
        <v>306337.64</v>
      </c>
      <c r="O732" s="2">
        <v>57703.63</v>
      </c>
      <c r="P732" s="1">
        <f>(Sales_Data[[#This Row],[Profit]]/Sales_Data[[#This Row],[Revenue]])</f>
        <v>0.15850848449133251</v>
      </c>
    </row>
    <row r="733" spans="1:16" x14ac:dyDescent="0.35">
      <c r="A733" t="s">
        <v>542</v>
      </c>
      <c r="B733" s="5" t="s">
        <v>532</v>
      </c>
      <c r="C733" s="5" t="s">
        <v>184</v>
      </c>
      <c r="D733" s="5" t="str">
        <f>"Q"&amp;ROUNDUP(MONTH(B733)/3,0)</f>
        <v>Q1</v>
      </c>
      <c r="E733" t="s">
        <v>16</v>
      </c>
      <c r="F733" t="s">
        <v>3</v>
      </c>
      <c r="G733" t="s">
        <v>51</v>
      </c>
      <c r="H733" t="s">
        <v>78</v>
      </c>
      <c r="I733" t="s">
        <v>19</v>
      </c>
      <c r="J733" s="4">
        <v>8</v>
      </c>
      <c r="K733" s="3">
        <v>128.12</v>
      </c>
      <c r="L733">
        <v>5</v>
      </c>
      <c r="M733" s="2">
        <v>973.71</v>
      </c>
      <c r="N733" s="2">
        <v>688.62</v>
      </c>
      <c r="O733" s="2">
        <v>285.08999999999997</v>
      </c>
      <c r="P733" s="1">
        <f>(Sales_Data[[#This Row],[Profit]]/Sales_Data[[#This Row],[Revenue]])</f>
        <v>0.29278738022614531</v>
      </c>
    </row>
    <row r="734" spans="1:16" x14ac:dyDescent="0.35">
      <c r="A734" t="s">
        <v>541</v>
      </c>
      <c r="B734" s="5" t="s">
        <v>525</v>
      </c>
      <c r="C734" s="5" t="s">
        <v>184</v>
      </c>
      <c r="D734" s="5" t="str">
        <f>"Q"&amp;ROUNDUP(MONTH(B734)/3,0)</f>
        <v>Q1</v>
      </c>
      <c r="E734" t="s">
        <v>16</v>
      </c>
      <c r="F734" t="s">
        <v>52</v>
      </c>
      <c r="G734" t="s">
        <v>116</v>
      </c>
      <c r="H734" t="s">
        <v>14</v>
      </c>
      <c r="I734" t="s">
        <v>8</v>
      </c>
      <c r="J734" s="4">
        <v>8</v>
      </c>
      <c r="K734" s="3">
        <v>2323.65</v>
      </c>
      <c r="L734">
        <v>5</v>
      </c>
      <c r="M734" s="2">
        <v>17659.740000000002</v>
      </c>
      <c r="N734" s="2">
        <v>12448.06</v>
      </c>
      <c r="O734" s="2">
        <v>5211.68</v>
      </c>
      <c r="P734" s="1">
        <f>(Sales_Data[[#This Row],[Profit]]/Sales_Data[[#This Row],[Revenue]])</f>
        <v>0.29511646264327784</v>
      </c>
    </row>
    <row r="735" spans="1:16" x14ac:dyDescent="0.35">
      <c r="A735" t="s">
        <v>540</v>
      </c>
      <c r="B735" s="5" t="s">
        <v>522</v>
      </c>
      <c r="C735" s="5" t="s">
        <v>184</v>
      </c>
      <c r="D735" s="5" t="str">
        <f>"Q"&amp;ROUNDUP(MONTH(B735)/3,0)</f>
        <v>Q1</v>
      </c>
      <c r="E735" t="s">
        <v>4</v>
      </c>
      <c r="F735" t="s">
        <v>52</v>
      </c>
      <c r="G735" t="s">
        <v>220</v>
      </c>
      <c r="H735" t="s">
        <v>14</v>
      </c>
      <c r="I735" t="s">
        <v>8</v>
      </c>
      <c r="J735" s="4">
        <v>2</v>
      </c>
      <c r="K735" s="3">
        <v>2450.4299999999998</v>
      </c>
      <c r="L735">
        <v>5</v>
      </c>
      <c r="M735" s="2">
        <v>4655.82</v>
      </c>
      <c r="N735" s="2">
        <v>3754.65</v>
      </c>
      <c r="O735" s="2">
        <v>901.17</v>
      </c>
      <c r="P735" s="1">
        <f>(Sales_Data[[#This Row],[Profit]]/Sales_Data[[#This Row],[Revenue]])</f>
        <v>0.19355774063430287</v>
      </c>
    </row>
    <row r="736" spans="1:16" x14ac:dyDescent="0.35">
      <c r="A736" t="s">
        <v>539</v>
      </c>
      <c r="B736" s="5" t="s">
        <v>538</v>
      </c>
      <c r="C736" s="5" t="s">
        <v>184</v>
      </c>
      <c r="D736" s="5" t="str">
        <f>"Q"&amp;ROUNDUP(MONTH(B736)/3,0)</f>
        <v>Q1</v>
      </c>
      <c r="E736" t="s">
        <v>36</v>
      </c>
      <c r="F736" t="s">
        <v>52</v>
      </c>
      <c r="G736" t="s">
        <v>220</v>
      </c>
      <c r="H736" t="s">
        <v>34</v>
      </c>
      <c r="I736" t="s">
        <v>8</v>
      </c>
      <c r="J736" s="4">
        <v>3</v>
      </c>
      <c r="K736" s="3">
        <v>25739.78</v>
      </c>
      <c r="L736">
        <v>5</v>
      </c>
      <c r="M736" s="2">
        <v>73358.37</v>
      </c>
      <c r="N736" s="2">
        <v>44636.08</v>
      </c>
      <c r="O736" s="2">
        <v>28722.29</v>
      </c>
      <c r="P736" s="1">
        <f>(Sales_Data[[#This Row],[Profit]]/Sales_Data[[#This Row],[Revenue]])</f>
        <v>0.39153391767019907</v>
      </c>
    </row>
    <row r="737" spans="1:16" x14ac:dyDescent="0.35">
      <c r="A737" t="s">
        <v>537</v>
      </c>
      <c r="B737" s="5" t="s">
        <v>536</v>
      </c>
      <c r="C737" s="5" t="s">
        <v>184</v>
      </c>
      <c r="D737" s="5" t="str">
        <f>"Q"&amp;ROUNDUP(MONTH(B737)/3,0)</f>
        <v>Q1</v>
      </c>
      <c r="E737" t="s">
        <v>16</v>
      </c>
      <c r="F737" t="s">
        <v>63</v>
      </c>
      <c r="G737" t="s">
        <v>92</v>
      </c>
      <c r="H737" t="s">
        <v>9</v>
      </c>
      <c r="I737" t="s">
        <v>8</v>
      </c>
      <c r="J737" s="4">
        <v>2</v>
      </c>
      <c r="K737" s="3">
        <v>64113.53</v>
      </c>
      <c r="L737">
        <v>5</v>
      </c>
      <c r="M737" s="2">
        <v>121815.71</v>
      </c>
      <c r="N737" s="2">
        <v>89241.66</v>
      </c>
      <c r="O737" s="2">
        <v>32574.05</v>
      </c>
      <c r="P737" s="1">
        <f>(Sales_Data[[#This Row],[Profit]]/Sales_Data[[#This Row],[Revenue]])</f>
        <v>0.26740434382396161</v>
      </c>
    </row>
    <row r="738" spans="1:16" x14ac:dyDescent="0.35">
      <c r="A738" t="s">
        <v>535</v>
      </c>
      <c r="B738" s="5" t="s">
        <v>215</v>
      </c>
      <c r="C738" s="5" t="s">
        <v>184</v>
      </c>
      <c r="D738" s="5" t="str">
        <f>"Q"&amp;ROUNDUP(MONTH(B738)/3,0)</f>
        <v>Q1</v>
      </c>
      <c r="E738" t="s">
        <v>16</v>
      </c>
      <c r="F738" t="s">
        <v>11</v>
      </c>
      <c r="G738" t="s">
        <v>231</v>
      </c>
      <c r="H738" t="s">
        <v>34</v>
      </c>
      <c r="I738" t="s">
        <v>8</v>
      </c>
      <c r="J738" s="4">
        <v>1</v>
      </c>
      <c r="K738" s="3">
        <v>24126.66</v>
      </c>
      <c r="L738">
        <v>5</v>
      </c>
      <c r="M738" s="2">
        <v>22920.33</v>
      </c>
      <c r="N738" s="2">
        <v>18342.57</v>
      </c>
      <c r="O738" s="2">
        <v>4577.76</v>
      </c>
      <c r="P738" s="1">
        <f>(Sales_Data[[#This Row],[Profit]]/Sales_Data[[#This Row],[Revenue]])</f>
        <v>0.19972487307119924</v>
      </c>
    </row>
    <row r="739" spans="1:16" x14ac:dyDescent="0.35">
      <c r="A739" t="s">
        <v>534</v>
      </c>
      <c r="B739" s="5" t="s">
        <v>525</v>
      </c>
      <c r="C739" s="5" t="s">
        <v>184</v>
      </c>
      <c r="D739" s="5" t="str">
        <f>"Q"&amp;ROUNDUP(MONTH(B739)/3,0)</f>
        <v>Q1</v>
      </c>
      <c r="E739" t="s">
        <v>16</v>
      </c>
      <c r="F739" t="s">
        <v>3</v>
      </c>
      <c r="G739" t="s">
        <v>85</v>
      </c>
      <c r="H739" t="s">
        <v>1</v>
      </c>
      <c r="I739" t="s">
        <v>0</v>
      </c>
      <c r="J739" s="4">
        <v>5</v>
      </c>
      <c r="K739" s="3">
        <v>526.62</v>
      </c>
      <c r="L739">
        <v>5</v>
      </c>
      <c r="M739" s="2">
        <v>2501.44</v>
      </c>
      <c r="N739" s="2">
        <v>1493.2</v>
      </c>
      <c r="O739" s="2">
        <v>1008.24</v>
      </c>
      <c r="P739" s="1">
        <f>(Sales_Data[[#This Row],[Profit]]/Sales_Data[[#This Row],[Revenue]])</f>
        <v>0.403063835230907</v>
      </c>
    </row>
    <row r="740" spans="1:16" x14ac:dyDescent="0.35">
      <c r="A740" t="s">
        <v>533</v>
      </c>
      <c r="B740" s="5" t="s">
        <v>532</v>
      </c>
      <c r="C740" s="5" t="s">
        <v>184</v>
      </c>
      <c r="D740" s="5" t="str">
        <f>"Q"&amp;ROUNDUP(MONTH(B740)/3,0)</f>
        <v>Q1</v>
      </c>
      <c r="E740" t="s">
        <v>36</v>
      </c>
      <c r="F740" t="s">
        <v>3</v>
      </c>
      <c r="G740" t="s">
        <v>82</v>
      </c>
      <c r="H740" t="s">
        <v>45</v>
      </c>
      <c r="I740" t="s">
        <v>8</v>
      </c>
      <c r="J740" s="4">
        <v>1</v>
      </c>
      <c r="K740" s="3">
        <v>842.2</v>
      </c>
      <c r="L740">
        <v>5</v>
      </c>
      <c r="M740" s="2">
        <v>800.09</v>
      </c>
      <c r="N740" s="2">
        <v>610.34</v>
      </c>
      <c r="O740" s="2">
        <v>189.75</v>
      </c>
      <c r="P740" s="1">
        <f>(Sales_Data[[#This Row],[Profit]]/Sales_Data[[#This Row],[Revenue]])</f>
        <v>0.23716081940781661</v>
      </c>
    </row>
    <row r="741" spans="1:16" x14ac:dyDescent="0.35">
      <c r="A741" t="s">
        <v>531</v>
      </c>
      <c r="B741" s="5" t="s">
        <v>206</v>
      </c>
      <c r="C741" s="5" t="s">
        <v>184</v>
      </c>
      <c r="D741" s="5" t="str">
        <f>"Q"&amp;ROUNDUP(MONTH(B741)/3,0)</f>
        <v>Q1</v>
      </c>
      <c r="E741" t="s">
        <v>23</v>
      </c>
      <c r="F741" t="s">
        <v>63</v>
      </c>
      <c r="G741" t="s">
        <v>124</v>
      </c>
      <c r="H741" t="s">
        <v>34</v>
      </c>
      <c r="I741" t="s">
        <v>8</v>
      </c>
      <c r="J741" s="4">
        <v>5</v>
      </c>
      <c r="K741" s="3">
        <v>26887.96</v>
      </c>
      <c r="L741">
        <v>5</v>
      </c>
      <c r="M741" s="2">
        <v>127717.81</v>
      </c>
      <c r="N741" s="2">
        <v>102672.43</v>
      </c>
      <c r="O741" s="2">
        <v>25045.38</v>
      </c>
      <c r="P741" s="1">
        <f>(Sales_Data[[#This Row],[Profit]]/Sales_Data[[#This Row],[Revenue]])</f>
        <v>0.19609935372365062</v>
      </c>
    </row>
    <row r="742" spans="1:16" x14ac:dyDescent="0.35">
      <c r="A742" t="s">
        <v>530</v>
      </c>
      <c r="B742" s="5" t="s">
        <v>189</v>
      </c>
      <c r="C742" s="5" t="s">
        <v>184</v>
      </c>
      <c r="D742" s="5" t="str">
        <f>"Q"&amp;ROUNDUP(MONTH(B742)/3,0)</f>
        <v>Q1</v>
      </c>
      <c r="E742" t="s">
        <v>36</v>
      </c>
      <c r="F742" t="s">
        <v>63</v>
      </c>
      <c r="G742" t="s">
        <v>95</v>
      </c>
      <c r="H742" t="s">
        <v>78</v>
      </c>
      <c r="I742" t="s">
        <v>19</v>
      </c>
      <c r="J742" s="4">
        <v>5</v>
      </c>
      <c r="K742" s="3">
        <v>120.97</v>
      </c>
      <c r="L742">
        <v>5</v>
      </c>
      <c r="M742" s="2">
        <v>574.61</v>
      </c>
      <c r="N742" s="2">
        <v>413.31</v>
      </c>
      <c r="O742" s="2">
        <v>161.30000000000001</v>
      </c>
      <c r="P742" s="1">
        <f>(Sales_Data[[#This Row],[Profit]]/Sales_Data[[#This Row],[Revenue]])</f>
        <v>0.28071213518734445</v>
      </c>
    </row>
    <row r="743" spans="1:16" x14ac:dyDescent="0.35">
      <c r="A743" t="s">
        <v>529</v>
      </c>
      <c r="B743" s="5" t="s">
        <v>528</v>
      </c>
      <c r="C743" s="5" t="s">
        <v>184</v>
      </c>
      <c r="D743" s="5" t="str">
        <f>"Q"&amp;ROUNDUP(MONTH(B743)/3,0)</f>
        <v>Q1</v>
      </c>
      <c r="E743" t="s">
        <v>4</v>
      </c>
      <c r="F743" t="s">
        <v>3</v>
      </c>
      <c r="G743" t="s">
        <v>82</v>
      </c>
      <c r="H743" t="s">
        <v>78</v>
      </c>
      <c r="I743" t="s">
        <v>19</v>
      </c>
      <c r="J743" s="4">
        <v>8</v>
      </c>
      <c r="K743" s="3">
        <v>131.13</v>
      </c>
      <c r="L743">
        <v>5</v>
      </c>
      <c r="M743" s="2">
        <v>996.59</v>
      </c>
      <c r="N743" s="2">
        <v>590.16999999999996</v>
      </c>
      <c r="O743" s="2">
        <v>406.42</v>
      </c>
      <c r="P743" s="1">
        <f>(Sales_Data[[#This Row],[Profit]]/Sales_Data[[#This Row],[Revenue]])</f>
        <v>0.40781063426283626</v>
      </c>
    </row>
    <row r="744" spans="1:16" x14ac:dyDescent="0.35">
      <c r="A744" t="s">
        <v>527</v>
      </c>
      <c r="B744" s="5" t="s">
        <v>187</v>
      </c>
      <c r="C744" s="5" t="s">
        <v>184</v>
      </c>
      <c r="D744" s="5" t="str">
        <f>"Q"&amp;ROUNDUP(MONTH(B744)/3,0)</f>
        <v>Q1</v>
      </c>
      <c r="E744" t="s">
        <v>23</v>
      </c>
      <c r="F744" t="s">
        <v>11</v>
      </c>
      <c r="G744" t="s">
        <v>112</v>
      </c>
      <c r="H744" t="s">
        <v>111</v>
      </c>
      <c r="I744" t="s">
        <v>49</v>
      </c>
      <c r="J744" s="4">
        <v>7</v>
      </c>
      <c r="K744" s="3">
        <v>8117.57</v>
      </c>
      <c r="L744">
        <v>5</v>
      </c>
      <c r="M744" s="2">
        <v>53981.84</v>
      </c>
      <c r="N744" s="2">
        <v>45712.51</v>
      </c>
      <c r="O744" s="2">
        <v>8269.33</v>
      </c>
      <c r="P744" s="1">
        <f>(Sales_Data[[#This Row],[Profit]]/Sales_Data[[#This Row],[Revenue]])</f>
        <v>0.15318725704792577</v>
      </c>
    </row>
    <row r="745" spans="1:16" x14ac:dyDescent="0.35">
      <c r="A745" t="s">
        <v>526</v>
      </c>
      <c r="B745" s="5" t="s">
        <v>525</v>
      </c>
      <c r="C745" s="5" t="s">
        <v>184</v>
      </c>
      <c r="D745" s="5" t="str">
        <f>"Q"&amp;ROUNDUP(MONTH(B745)/3,0)</f>
        <v>Q1</v>
      </c>
      <c r="E745" t="s">
        <v>36</v>
      </c>
      <c r="F745" t="s">
        <v>56</v>
      </c>
      <c r="G745" t="s">
        <v>116</v>
      </c>
      <c r="H745" t="s">
        <v>45</v>
      </c>
      <c r="I745" t="s">
        <v>8</v>
      </c>
      <c r="J745" s="4">
        <v>3</v>
      </c>
      <c r="K745" s="3">
        <v>977.52</v>
      </c>
      <c r="L745">
        <v>5</v>
      </c>
      <c r="M745" s="2">
        <v>2785.93</v>
      </c>
      <c r="N745" s="2">
        <v>2258.73</v>
      </c>
      <c r="O745" s="2">
        <v>527.20000000000005</v>
      </c>
      <c r="P745" s="1">
        <f>(Sales_Data[[#This Row],[Profit]]/Sales_Data[[#This Row],[Revenue]])</f>
        <v>0.18923662834313859</v>
      </c>
    </row>
    <row r="746" spans="1:16" x14ac:dyDescent="0.35">
      <c r="A746" t="s">
        <v>524</v>
      </c>
      <c r="B746" s="5" t="s">
        <v>210</v>
      </c>
      <c r="C746" s="5" t="s">
        <v>184</v>
      </c>
      <c r="D746" s="5" t="str">
        <f>"Q"&amp;ROUNDUP(MONTH(B746)/3,0)</f>
        <v>Q1</v>
      </c>
      <c r="E746" t="s">
        <v>23</v>
      </c>
      <c r="F746" t="s">
        <v>63</v>
      </c>
      <c r="G746" t="s">
        <v>231</v>
      </c>
      <c r="H746" t="s">
        <v>34</v>
      </c>
      <c r="I746" t="s">
        <v>8</v>
      </c>
      <c r="J746" s="4">
        <v>2</v>
      </c>
      <c r="K746" s="3">
        <v>23477.83</v>
      </c>
      <c r="L746">
        <v>5</v>
      </c>
      <c r="M746" s="2">
        <v>44607.88</v>
      </c>
      <c r="N746" s="2">
        <v>25858.42</v>
      </c>
      <c r="O746" s="2">
        <v>18749.46</v>
      </c>
      <c r="P746" s="1">
        <f>(Sales_Data[[#This Row],[Profit]]/Sales_Data[[#This Row],[Revenue]])</f>
        <v>0.42031721749610157</v>
      </c>
    </row>
    <row r="747" spans="1:16" x14ac:dyDescent="0.35">
      <c r="A747" t="s">
        <v>523</v>
      </c>
      <c r="B747" s="5" t="s">
        <v>522</v>
      </c>
      <c r="C747" s="5" t="s">
        <v>184</v>
      </c>
      <c r="D747" s="5" t="str">
        <f>"Q"&amp;ROUNDUP(MONTH(B747)/3,0)</f>
        <v>Q1</v>
      </c>
      <c r="E747" t="s">
        <v>16</v>
      </c>
      <c r="F747" t="s">
        <v>56</v>
      </c>
      <c r="G747" t="s">
        <v>150</v>
      </c>
      <c r="H747" t="s">
        <v>14</v>
      </c>
      <c r="I747" t="s">
        <v>8</v>
      </c>
      <c r="J747" s="4">
        <v>1</v>
      </c>
      <c r="K747" s="3">
        <v>2361.3000000000002</v>
      </c>
      <c r="L747">
        <v>5</v>
      </c>
      <c r="M747" s="2">
        <v>2243.2399999999998</v>
      </c>
      <c r="N747" s="2">
        <v>1318.49</v>
      </c>
      <c r="O747" s="2">
        <v>924.75</v>
      </c>
      <c r="P747" s="1">
        <f>(Sales_Data[[#This Row],[Profit]]/Sales_Data[[#This Row],[Revenue]])</f>
        <v>0.41223854781476799</v>
      </c>
    </row>
    <row r="748" spans="1:16" x14ac:dyDescent="0.35">
      <c r="A748" t="s">
        <v>521</v>
      </c>
      <c r="B748" s="5" t="s">
        <v>520</v>
      </c>
      <c r="C748" s="5" t="s">
        <v>184</v>
      </c>
      <c r="D748" s="5" t="str">
        <f>"Q"&amp;ROUNDUP(MONTH(B748)/3,0)</f>
        <v>Q1</v>
      </c>
      <c r="E748" t="s">
        <v>4</v>
      </c>
      <c r="F748" t="s">
        <v>3</v>
      </c>
      <c r="G748" t="s">
        <v>79</v>
      </c>
      <c r="H748" t="s">
        <v>78</v>
      </c>
      <c r="I748" t="s">
        <v>19</v>
      </c>
      <c r="J748" s="4">
        <v>8</v>
      </c>
      <c r="K748" s="3">
        <v>115.73</v>
      </c>
      <c r="L748">
        <v>5</v>
      </c>
      <c r="M748" s="2">
        <v>879.55</v>
      </c>
      <c r="N748" s="2">
        <v>579.72</v>
      </c>
      <c r="O748" s="2">
        <v>299.83</v>
      </c>
      <c r="P748" s="1">
        <f>(Sales_Data[[#This Row],[Profit]]/Sales_Data[[#This Row],[Revenue]])</f>
        <v>0.34089022795747825</v>
      </c>
    </row>
    <row r="749" spans="1:16" x14ac:dyDescent="0.35">
      <c r="A749" t="s">
        <v>519</v>
      </c>
      <c r="B749" s="5" t="s">
        <v>518</v>
      </c>
      <c r="C749" s="5" t="s">
        <v>184</v>
      </c>
      <c r="D749" s="5" t="str">
        <f>"Q"&amp;ROUNDUP(MONTH(B749)/3,0)</f>
        <v>Q1</v>
      </c>
      <c r="E749" t="s">
        <v>36</v>
      </c>
      <c r="F749" t="s">
        <v>52</v>
      </c>
      <c r="G749" t="s">
        <v>95</v>
      </c>
      <c r="H749" t="s">
        <v>45</v>
      </c>
      <c r="I749" t="s">
        <v>8</v>
      </c>
      <c r="J749" s="4">
        <v>8</v>
      </c>
      <c r="K749" s="3">
        <v>829.69</v>
      </c>
      <c r="L749">
        <v>5</v>
      </c>
      <c r="M749" s="2">
        <v>6305.64</v>
      </c>
      <c r="N749" s="2">
        <v>4770.09</v>
      </c>
      <c r="O749" s="2">
        <v>1535.55</v>
      </c>
      <c r="P749" s="1">
        <f>(Sales_Data[[#This Row],[Profit]]/Sales_Data[[#This Row],[Revenue]])</f>
        <v>0.24352008677945455</v>
      </c>
    </row>
    <row r="750" spans="1:16" x14ac:dyDescent="0.35">
      <c r="A750" t="s">
        <v>517</v>
      </c>
      <c r="B750" s="5" t="s">
        <v>192</v>
      </c>
      <c r="C750" s="5" t="s">
        <v>184</v>
      </c>
      <c r="D750" s="5" t="str">
        <f>"Q"&amp;ROUNDUP(MONTH(B750)/3,0)</f>
        <v>Q1</v>
      </c>
      <c r="E750" t="s">
        <v>4</v>
      </c>
      <c r="F750" t="s">
        <v>22</v>
      </c>
      <c r="G750" t="s">
        <v>21</v>
      </c>
      <c r="H750" t="s">
        <v>59</v>
      </c>
      <c r="I750" t="s">
        <v>0</v>
      </c>
      <c r="J750" s="4">
        <v>6</v>
      </c>
      <c r="K750" s="3">
        <v>1438.04</v>
      </c>
      <c r="L750">
        <v>5</v>
      </c>
      <c r="M750" s="2">
        <v>8196.83</v>
      </c>
      <c r="N750" s="2">
        <v>6071.2</v>
      </c>
      <c r="O750" s="2">
        <v>2125.63</v>
      </c>
      <c r="P750" s="1">
        <f>(Sales_Data[[#This Row],[Profit]]/Sales_Data[[#This Row],[Revenue]])</f>
        <v>0.25932342137143261</v>
      </c>
    </row>
    <row r="751" spans="1:16" x14ac:dyDescent="0.35">
      <c r="A751" t="s">
        <v>516</v>
      </c>
      <c r="B751" s="5" t="s">
        <v>195</v>
      </c>
      <c r="C751" s="5" t="s">
        <v>184</v>
      </c>
      <c r="D751" s="5" t="str">
        <f>"Q"&amp;ROUNDUP(MONTH(B751)/3,0)</f>
        <v>Q1</v>
      </c>
      <c r="E751" t="s">
        <v>16</v>
      </c>
      <c r="F751" t="s">
        <v>56</v>
      </c>
      <c r="G751" t="s">
        <v>29</v>
      </c>
      <c r="H751" t="s">
        <v>20</v>
      </c>
      <c r="I751" t="s">
        <v>19</v>
      </c>
      <c r="J751" s="4">
        <v>6</v>
      </c>
      <c r="K751" s="3">
        <v>30.46</v>
      </c>
      <c r="L751">
        <v>5</v>
      </c>
      <c r="M751" s="2">
        <v>173.62</v>
      </c>
      <c r="N751" s="2">
        <v>145.36000000000001</v>
      </c>
      <c r="O751" s="2">
        <v>28.26</v>
      </c>
      <c r="P751" s="1">
        <f>(Sales_Data[[#This Row],[Profit]]/Sales_Data[[#This Row],[Revenue]])</f>
        <v>0.16276926621356988</v>
      </c>
    </row>
    <row r="752" spans="1:16" x14ac:dyDescent="0.35">
      <c r="A752" t="s">
        <v>515</v>
      </c>
      <c r="B752" s="5" t="s">
        <v>180</v>
      </c>
      <c r="C752" s="5" t="s">
        <v>151</v>
      </c>
      <c r="D752" s="5" t="str">
        <f>"Q"&amp;ROUNDUP(MONTH(B752)/3,0)</f>
        <v>Q2</v>
      </c>
      <c r="E752" t="s">
        <v>36</v>
      </c>
      <c r="F752" t="s">
        <v>11</v>
      </c>
      <c r="G752" t="s">
        <v>79</v>
      </c>
      <c r="H752" t="s">
        <v>34</v>
      </c>
      <c r="I752" t="s">
        <v>8</v>
      </c>
      <c r="J752" s="4">
        <v>3</v>
      </c>
      <c r="K752" s="3">
        <v>26033.07</v>
      </c>
      <c r="L752">
        <v>5</v>
      </c>
      <c r="M752" s="2">
        <v>74194.25</v>
      </c>
      <c r="N752" s="2">
        <v>47843.5</v>
      </c>
      <c r="O752" s="2">
        <v>26350.75</v>
      </c>
      <c r="P752" s="1">
        <f>(Sales_Data[[#This Row],[Profit]]/Sales_Data[[#This Row],[Revenue]])</f>
        <v>0.35515892404060961</v>
      </c>
    </row>
    <row r="753" spans="1:16" x14ac:dyDescent="0.35">
      <c r="A753" t="s">
        <v>514</v>
      </c>
      <c r="B753" s="5" t="s">
        <v>499</v>
      </c>
      <c r="C753" s="5" t="s">
        <v>151</v>
      </c>
      <c r="D753" s="5" t="str">
        <f>"Q"&amp;ROUNDUP(MONTH(B753)/3,0)</f>
        <v>Q2</v>
      </c>
      <c r="E753" t="s">
        <v>4</v>
      </c>
      <c r="F753" t="s">
        <v>56</v>
      </c>
      <c r="G753" t="s">
        <v>101</v>
      </c>
      <c r="H753" t="s">
        <v>1</v>
      </c>
      <c r="I753" t="s">
        <v>0</v>
      </c>
      <c r="J753" s="4">
        <v>5</v>
      </c>
      <c r="K753" s="3">
        <v>474.94</v>
      </c>
      <c r="L753">
        <v>5</v>
      </c>
      <c r="M753" s="2">
        <v>2255.96</v>
      </c>
      <c r="N753" s="2">
        <v>1484.51</v>
      </c>
      <c r="O753" s="2">
        <v>771.45</v>
      </c>
      <c r="P753" s="1">
        <f>(Sales_Data[[#This Row],[Profit]]/Sales_Data[[#This Row],[Revenue]])</f>
        <v>0.34196085036968743</v>
      </c>
    </row>
    <row r="754" spans="1:16" x14ac:dyDescent="0.35">
      <c r="A754" t="s">
        <v>513</v>
      </c>
      <c r="B754" s="5" t="s">
        <v>512</v>
      </c>
      <c r="C754" s="5" t="s">
        <v>151</v>
      </c>
      <c r="D754" s="5" t="str">
        <f>"Q"&amp;ROUNDUP(MONTH(B754)/3,0)</f>
        <v>Q2</v>
      </c>
      <c r="E754" t="s">
        <v>36</v>
      </c>
      <c r="F754" t="s">
        <v>52</v>
      </c>
      <c r="G754" t="s">
        <v>231</v>
      </c>
      <c r="H754" t="s">
        <v>14</v>
      </c>
      <c r="I754" t="s">
        <v>8</v>
      </c>
      <c r="J754" s="4">
        <v>8</v>
      </c>
      <c r="K754" s="3">
        <v>2526.41</v>
      </c>
      <c r="L754">
        <v>5</v>
      </c>
      <c r="M754" s="2">
        <v>19200.72</v>
      </c>
      <c r="N754" s="2">
        <v>12068.04</v>
      </c>
      <c r="O754" s="2">
        <v>7132.68</v>
      </c>
      <c r="P754" s="1">
        <f>(Sales_Data[[#This Row],[Profit]]/Sales_Data[[#This Row],[Revenue]])</f>
        <v>0.3714798195067685</v>
      </c>
    </row>
    <row r="755" spans="1:16" x14ac:dyDescent="0.35">
      <c r="A755" t="s">
        <v>511</v>
      </c>
      <c r="B755" s="5" t="s">
        <v>160</v>
      </c>
      <c r="C755" s="5" t="s">
        <v>151</v>
      </c>
      <c r="D755" s="5" t="str">
        <f>"Q"&amp;ROUNDUP(MONTH(B755)/3,0)</f>
        <v>Q2</v>
      </c>
      <c r="E755" t="s">
        <v>23</v>
      </c>
      <c r="F755" t="s">
        <v>11</v>
      </c>
      <c r="G755" t="s">
        <v>142</v>
      </c>
      <c r="H755" t="s">
        <v>9</v>
      </c>
      <c r="I755" t="s">
        <v>8</v>
      </c>
      <c r="J755" s="4">
        <v>5</v>
      </c>
      <c r="K755" s="3">
        <v>65606.14</v>
      </c>
      <c r="L755">
        <v>5</v>
      </c>
      <c r="M755" s="2">
        <v>311629.15999999997</v>
      </c>
      <c r="N755" s="2">
        <v>242321.91</v>
      </c>
      <c r="O755" s="2">
        <v>69307.25</v>
      </c>
      <c r="P755" s="1">
        <f>(Sales_Data[[#This Row],[Profit]]/Sales_Data[[#This Row],[Revenue]])</f>
        <v>0.2224029676812016</v>
      </c>
    </row>
    <row r="756" spans="1:16" x14ac:dyDescent="0.35">
      <c r="A756" t="s">
        <v>510</v>
      </c>
      <c r="B756" s="5" t="s">
        <v>180</v>
      </c>
      <c r="C756" s="5" t="s">
        <v>151</v>
      </c>
      <c r="D756" s="5" t="str">
        <f>"Q"&amp;ROUNDUP(MONTH(B756)/3,0)</f>
        <v>Q2</v>
      </c>
      <c r="E756" t="s">
        <v>16</v>
      </c>
      <c r="F756" t="s">
        <v>63</v>
      </c>
      <c r="G756" t="s">
        <v>112</v>
      </c>
      <c r="H756" t="s">
        <v>59</v>
      </c>
      <c r="I756" t="s">
        <v>0</v>
      </c>
      <c r="J756" s="4">
        <v>5</v>
      </c>
      <c r="K756" s="3">
        <v>1481.57</v>
      </c>
      <c r="L756">
        <v>5</v>
      </c>
      <c r="M756" s="2">
        <v>7037.46</v>
      </c>
      <c r="N756" s="2">
        <v>4355.7700000000004</v>
      </c>
      <c r="O756" s="2">
        <v>2681.69</v>
      </c>
      <c r="P756" s="1">
        <f>(Sales_Data[[#This Row],[Profit]]/Sales_Data[[#This Row],[Revenue]])</f>
        <v>0.38105935948481412</v>
      </c>
    </row>
    <row r="757" spans="1:16" x14ac:dyDescent="0.35">
      <c r="A757" t="s">
        <v>509</v>
      </c>
      <c r="B757" s="5" t="s">
        <v>505</v>
      </c>
      <c r="C757" s="5" t="s">
        <v>151</v>
      </c>
      <c r="D757" s="5" t="str">
        <f>"Q"&amp;ROUNDUP(MONTH(B757)/3,0)</f>
        <v>Q2</v>
      </c>
      <c r="E757" t="s">
        <v>23</v>
      </c>
      <c r="F757" t="s">
        <v>52</v>
      </c>
      <c r="G757" t="s">
        <v>309</v>
      </c>
      <c r="H757" t="s">
        <v>1</v>
      </c>
      <c r="I757" t="s">
        <v>0</v>
      </c>
      <c r="J757" s="4">
        <v>4</v>
      </c>
      <c r="K757" s="3">
        <v>479.81</v>
      </c>
      <c r="L757">
        <v>5</v>
      </c>
      <c r="M757" s="2">
        <v>1823.28</v>
      </c>
      <c r="N757" s="2">
        <v>1517.04</v>
      </c>
      <c r="O757" s="2">
        <v>306.24</v>
      </c>
      <c r="P757" s="1">
        <f>(Sales_Data[[#This Row],[Profit]]/Sales_Data[[#This Row],[Revenue]])</f>
        <v>0.16796103725154668</v>
      </c>
    </row>
    <row r="758" spans="1:16" x14ac:dyDescent="0.35">
      <c r="A758" t="s">
        <v>508</v>
      </c>
      <c r="B758" s="5" t="s">
        <v>507</v>
      </c>
      <c r="C758" s="5" t="s">
        <v>151</v>
      </c>
      <c r="D758" s="5" t="str">
        <f>"Q"&amp;ROUNDUP(MONTH(B758)/3,0)</f>
        <v>Q2</v>
      </c>
      <c r="E758" t="s">
        <v>16</v>
      </c>
      <c r="F758" t="s">
        <v>52</v>
      </c>
      <c r="G758" t="s">
        <v>51</v>
      </c>
      <c r="H758" t="s">
        <v>14</v>
      </c>
      <c r="I758" t="s">
        <v>8</v>
      </c>
      <c r="J758" s="4">
        <v>2</v>
      </c>
      <c r="K758" s="3">
        <v>2434.91</v>
      </c>
      <c r="L758">
        <v>5</v>
      </c>
      <c r="M758" s="2">
        <v>4626.33</v>
      </c>
      <c r="N758" s="2">
        <v>3840.78</v>
      </c>
      <c r="O758" s="2">
        <v>785.55</v>
      </c>
      <c r="P758" s="1">
        <f>(Sales_Data[[#This Row],[Profit]]/Sales_Data[[#This Row],[Revenue]])</f>
        <v>0.16979981972751618</v>
      </c>
    </row>
    <row r="759" spans="1:16" x14ac:dyDescent="0.35">
      <c r="A759" t="s">
        <v>506</v>
      </c>
      <c r="B759" s="5" t="s">
        <v>505</v>
      </c>
      <c r="C759" s="5" t="s">
        <v>151</v>
      </c>
      <c r="D759" s="5" t="str">
        <f>"Q"&amp;ROUNDUP(MONTH(B759)/3,0)</f>
        <v>Q2</v>
      </c>
      <c r="E759" t="s">
        <v>16</v>
      </c>
      <c r="F759" t="s">
        <v>22</v>
      </c>
      <c r="G759" t="s">
        <v>21</v>
      </c>
      <c r="H759" t="s">
        <v>14</v>
      </c>
      <c r="I759" t="s">
        <v>8</v>
      </c>
      <c r="J759" s="4">
        <v>8</v>
      </c>
      <c r="K759" s="3">
        <v>2391.52</v>
      </c>
      <c r="L759">
        <v>5</v>
      </c>
      <c r="M759" s="2">
        <v>18175.55</v>
      </c>
      <c r="N759" s="2">
        <v>15027.11</v>
      </c>
      <c r="O759" s="2">
        <v>3148.44</v>
      </c>
      <c r="P759" s="1">
        <f>(Sales_Data[[#This Row],[Profit]]/Sales_Data[[#This Row],[Revenue]])</f>
        <v>0.17322391894605665</v>
      </c>
    </row>
    <row r="760" spans="1:16" x14ac:dyDescent="0.35">
      <c r="A760" t="s">
        <v>504</v>
      </c>
      <c r="B760" s="5" t="s">
        <v>490</v>
      </c>
      <c r="C760" s="5" t="s">
        <v>151</v>
      </c>
      <c r="D760" s="5" t="str">
        <f>"Q"&amp;ROUNDUP(MONTH(B760)/3,0)</f>
        <v>Q2</v>
      </c>
      <c r="E760" t="s">
        <v>16</v>
      </c>
      <c r="F760" t="s">
        <v>3</v>
      </c>
      <c r="G760" t="s">
        <v>369</v>
      </c>
      <c r="H760" t="s">
        <v>50</v>
      </c>
      <c r="I760" t="s">
        <v>49</v>
      </c>
      <c r="J760" s="4">
        <v>2</v>
      </c>
      <c r="K760" s="3">
        <v>4919.84</v>
      </c>
      <c r="L760">
        <v>5</v>
      </c>
      <c r="M760" s="2">
        <v>9347.7000000000007</v>
      </c>
      <c r="N760" s="2">
        <v>5264.39</v>
      </c>
      <c r="O760" s="2">
        <v>4083.31</v>
      </c>
      <c r="P760" s="1">
        <f>(Sales_Data[[#This Row],[Profit]]/Sales_Data[[#This Row],[Revenue]])</f>
        <v>0.43682510136183228</v>
      </c>
    </row>
    <row r="761" spans="1:16" x14ac:dyDescent="0.35">
      <c r="A761" t="s">
        <v>503</v>
      </c>
      <c r="B761" s="5" t="s">
        <v>160</v>
      </c>
      <c r="C761" s="5" t="s">
        <v>151</v>
      </c>
      <c r="D761" s="5" t="str">
        <f>"Q"&amp;ROUNDUP(MONTH(B761)/3,0)</f>
        <v>Q2</v>
      </c>
      <c r="E761" t="s">
        <v>16</v>
      </c>
      <c r="F761" t="s">
        <v>52</v>
      </c>
      <c r="G761" t="s">
        <v>169</v>
      </c>
      <c r="H761" t="s">
        <v>20</v>
      </c>
      <c r="I761" t="s">
        <v>19</v>
      </c>
      <c r="J761" s="4">
        <v>4</v>
      </c>
      <c r="K761" s="3">
        <v>28.46</v>
      </c>
      <c r="L761">
        <v>5</v>
      </c>
      <c r="M761" s="2">
        <v>108.15</v>
      </c>
      <c r="N761" s="2">
        <v>70.25</v>
      </c>
      <c r="O761" s="2">
        <v>37.9</v>
      </c>
      <c r="P761" s="1">
        <f>(Sales_Data[[#This Row],[Profit]]/Sales_Data[[#This Row],[Revenue]])</f>
        <v>0.35043920480813684</v>
      </c>
    </row>
    <row r="762" spans="1:16" x14ac:dyDescent="0.35">
      <c r="A762" t="s">
        <v>502</v>
      </c>
      <c r="B762" s="5" t="s">
        <v>501</v>
      </c>
      <c r="C762" s="5" t="s">
        <v>151</v>
      </c>
      <c r="D762" s="5" t="str">
        <f>"Q"&amp;ROUNDUP(MONTH(B762)/3,0)</f>
        <v>Q2</v>
      </c>
      <c r="E762" t="s">
        <v>16</v>
      </c>
      <c r="F762" t="s">
        <v>22</v>
      </c>
      <c r="G762" t="s">
        <v>39</v>
      </c>
      <c r="H762" t="s">
        <v>59</v>
      </c>
      <c r="I762" t="s">
        <v>0</v>
      </c>
      <c r="J762" s="4">
        <v>3</v>
      </c>
      <c r="K762" s="3">
        <v>1350.88</v>
      </c>
      <c r="L762">
        <v>5</v>
      </c>
      <c r="M762" s="2">
        <v>3850.01</v>
      </c>
      <c r="N762" s="2">
        <v>2214.7399999999998</v>
      </c>
      <c r="O762" s="2">
        <v>1635.27</v>
      </c>
      <c r="P762" s="1">
        <f>(Sales_Data[[#This Row],[Profit]]/Sales_Data[[#This Row],[Revenue]])</f>
        <v>0.42474435131337318</v>
      </c>
    </row>
    <row r="763" spans="1:16" x14ac:dyDescent="0.35">
      <c r="A763" t="s">
        <v>500</v>
      </c>
      <c r="B763" s="5" t="s">
        <v>499</v>
      </c>
      <c r="C763" s="5" t="s">
        <v>151</v>
      </c>
      <c r="D763" s="5" t="str">
        <f>"Q"&amp;ROUNDUP(MONTH(B763)/3,0)</f>
        <v>Q2</v>
      </c>
      <c r="E763" t="s">
        <v>4</v>
      </c>
      <c r="F763" t="s">
        <v>11</v>
      </c>
      <c r="G763" t="s">
        <v>10</v>
      </c>
      <c r="H763" t="s">
        <v>59</v>
      </c>
      <c r="I763" t="s">
        <v>0</v>
      </c>
      <c r="J763" s="4">
        <v>5</v>
      </c>
      <c r="K763" s="3">
        <v>1544.93</v>
      </c>
      <c r="L763">
        <v>5</v>
      </c>
      <c r="M763" s="2">
        <v>7338.42</v>
      </c>
      <c r="N763" s="2">
        <v>5498.85</v>
      </c>
      <c r="O763" s="2">
        <v>1839.57</v>
      </c>
      <c r="P763" s="1">
        <f>(Sales_Data[[#This Row],[Profit]]/Sales_Data[[#This Row],[Revenue]])</f>
        <v>0.2506765761567204</v>
      </c>
    </row>
    <row r="764" spans="1:16" x14ac:dyDescent="0.35">
      <c r="A764" t="s">
        <v>498</v>
      </c>
      <c r="B764" s="5" t="s">
        <v>497</v>
      </c>
      <c r="C764" s="5" t="s">
        <v>151</v>
      </c>
      <c r="D764" s="5" t="str">
        <f>"Q"&amp;ROUNDUP(MONTH(B764)/3,0)</f>
        <v>Q2</v>
      </c>
      <c r="E764" t="s">
        <v>16</v>
      </c>
      <c r="F764" t="s">
        <v>22</v>
      </c>
      <c r="G764" t="s">
        <v>35</v>
      </c>
      <c r="H764" t="s">
        <v>59</v>
      </c>
      <c r="I764" t="s">
        <v>0</v>
      </c>
      <c r="J764" s="4">
        <v>7</v>
      </c>
      <c r="K764" s="3">
        <v>1566.29</v>
      </c>
      <c r="L764">
        <v>5</v>
      </c>
      <c r="M764" s="2">
        <v>10415.83</v>
      </c>
      <c r="N764" s="2">
        <v>8486.66</v>
      </c>
      <c r="O764" s="2">
        <v>1929.17</v>
      </c>
      <c r="P764" s="1">
        <f>(Sales_Data[[#This Row],[Profit]]/Sales_Data[[#This Row],[Revenue]])</f>
        <v>0.18521519648458165</v>
      </c>
    </row>
    <row r="765" spans="1:16" x14ac:dyDescent="0.35">
      <c r="A765" t="s">
        <v>496</v>
      </c>
      <c r="B765" s="5" t="s">
        <v>490</v>
      </c>
      <c r="C765" s="5" t="s">
        <v>151</v>
      </c>
      <c r="D765" s="5" t="str">
        <f>"Q"&amp;ROUNDUP(MONTH(B765)/3,0)</f>
        <v>Q2</v>
      </c>
      <c r="E765" t="s">
        <v>36</v>
      </c>
      <c r="F765" t="s">
        <v>3</v>
      </c>
      <c r="G765" t="s">
        <v>116</v>
      </c>
      <c r="H765" t="s">
        <v>50</v>
      </c>
      <c r="I765" t="s">
        <v>49</v>
      </c>
      <c r="J765" s="4">
        <v>6</v>
      </c>
      <c r="K765" s="3">
        <v>4793.43</v>
      </c>
      <c r="L765">
        <v>5</v>
      </c>
      <c r="M765" s="2">
        <v>27322.55</v>
      </c>
      <c r="N765" s="2">
        <v>19927.8</v>
      </c>
      <c r="O765" s="2">
        <v>7394.75</v>
      </c>
      <c r="P765" s="1">
        <f>(Sales_Data[[#This Row],[Profit]]/Sales_Data[[#This Row],[Revenue]])</f>
        <v>0.2706464074546483</v>
      </c>
    </row>
    <row r="766" spans="1:16" x14ac:dyDescent="0.35">
      <c r="A766" t="s">
        <v>495</v>
      </c>
      <c r="B766" s="5" t="s">
        <v>494</v>
      </c>
      <c r="C766" s="5" t="s">
        <v>151</v>
      </c>
      <c r="D766" s="5" t="str">
        <f>"Q"&amp;ROUNDUP(MONTH(B766)/3,0)</f>
        <v>Q2</v>
      </c>
      <c r="E766" t="s">
        <v>23</v>
      </c>
      <c r="F766" t="s">
        <v>11</v>
      </c>
      <c r="G766" t="s">
        <v>21</v>
      </c>
      <c r="H766" t="s">
        <v>78</v>
      </c>
      <c r="I766" t="s">
        <v>19</v>
      </c>
      <c r="J766" s="4">
        <v>3</v>
      </c>
      <c r="K766" s="3">
        <v>119.12</v>
      </c>
      <c r="L766">
        <v>5</v>
      </c>
      <c r="M766" s="2">
        <v>339.49</v>
      </c>
      <c r="N766" s="2">
        <v>280.86</v>
      </c>
      <c r="O766" s="2">
        <v>58.63</v>
      </c>
      <c r="P766" s="1">
        <f>(Sales_Data[[#This Row],[Profit]]/Sales_Data[[#This Row],[Revenue]])</f>
        <v>0.17270022681080444</v>
      </c>
    </row>
    <row r="767" spans="1:16" x14ac:dyDescent="0.35">
      <c r="A767" t="s">
        <v>493</v>
      </c>
      <c r="B767" s="5" t="s">
        <v>492</v>
      </c>
      <c r="C767" s="5" t="s">
        <v>151</v>
      </c>
      <c r="D767" s="5" t="str">
        <f>"Q"&amp;ROUNDUP(MONTH(B767)/3,0)</f>
        <v>Q2</v>
      </c>
      <c r="E767" t="s">
        <v>16</v>
      </c>
      <c r="F767" t="s">
        <v>52</v>
      </c>
      <c r="G767" t="s">
        <v>309</v>
      </c>
      <c r="H767" t="s">
        <v>1</v>
      </c>
      <c r="I767" t="s">
        <v>0</v>
      </c>
      <c r="J767" s="4">
        <v>2</v>
      </c>
      <c r="K767" s="3">
        <v>540.96</v>
      </c>
      <c r="L767">
        <v>5</v>
      </c>
      <c r="M767" s="2">
        <v>1027.82</v>
      </c>
      <c r="N767" s="2">
        <v>868.74</v>
      </c>
      <c r="O767" s="2">
        <v>159.08000000000001</v>
      </c>
      <c r="P767" s="1">
        <f>(Sales_Data[[#This Row],[Profit]]/Sales_Data[[#This Row],[Revenue]])</f>
        <v>0.15477418224981029</v>
      </c>
    </row>
    <row r="768" spans="1:16" x14ac:dyDescent="0.35">
      <c r="A768" t="s">
        <v>491</v>
      </c>
      <c r="B768" s="5" t="s">
        <v>490</v>
      </c>
      <c r="C768" s="5" t="s">
        <v>151</v>
      </c>
      <c r="D768" s="5" t="str">
        <f>"Q"&amp;ROUNDUP(MONTH(B768)/3,0)</f>
        <v>Q2</v>
      </c>
      <c r="E768" t="s">
        <v>16</v>
      </c>
      <c r="F768" t="s">
        <v>52</v>
      </c>
      <c r="G768" t="s">
        <v>71</v>
      </c>
      <c r="H768" t="s">
        <v>1</v>
      </c>
      <c r="I768" t="s">
        <v>0</v>
      </c>
      <c r="J768" s="4">
        <v>3</v>
      </c>
      <c r="K768" s="3">
        <v>464.55</v>
      </c>
      <c r="L768">
        <v>5</v>
      </c>
      <c r="M768" s="2">
        <v>1323.97</v>
      </c>
      <c r="N768" s="2">
        <v>1122.6500000000001</v>
      </c>
      <c r="O768" s="2">
        <v>201.32</v>
      </c>
      <c r="P768" s="1">
        <f>(Sales_Data[[#This Row],[Profit]]/Sales_Data[[#This Row],[Revenue]])</f>
        <v>0.15205782608367258</v>
      </c>
    </row>
    <row r="769" spans="1:16" x14ac:dyDescent="0.35">
      <c r="A769" t="s">
        <v>489</v>
      </c>
      <c r="B769" s="5" t="s">
        <v>488</v>
      </c>
      <c r="C769" s="5" t="s">
        <v>151</v>
      </c>
      <c r="D769" s="5" t="str">
        <f>"Q"&amp;ROUNDUP(MONTH(B769)/3,0)</f>
        <v>Q2</v>
      </c>
      <c r="E769" t="s">
        <v>4</v>
      </c>
      <c r="F769" t="s">
        <v>3</v>
      </c>
      <c r="G769" t="s">
        <v>309</v>
      </c>
      <c r="H769" t="s">
        <v>45</v>
      </c>
      <c r="I769" t="s">
        <v>8</v>
      </c>
      <c r="J769" s="4">
        <v>6</v>
      </c>
      <c r="K769" s="3">
        <v>839.14</v>
      </c>
      <c r="L769">
        <v>5</v>
      </c>
      <c r="M769" s="2">
        <v>4783.1000000000004</v>
      </c>
      <c r="N769" s="2">
        <v>3846.55</v>
      </c>
      <c r="O769" s="2">
        <v>936.55</v>
      </c>
      <c r="P769" s="1">
        <f>(Sales_Data[[#This Row],[Profit]]/Sales_Data[[#This Row],[Revenue]])</f>
        <v>0.19580397650059583</v>
      </c>
    </row>
    <row r="770" spans="1:16" x14ac:dyDescent="0.35">
      <c r="A770" t="s">
        <v>487</v>
      </c>
      <c r="B770" s="5" t="s">
        <v>172</v>
      </c>
      <c r="C770" s="5" t="s">
        <v>151</v>
      </c>
      <c r="D770" s="5" t="str">
        <f>"Q"&amp;ROUNDUP(MONTH(B770)/3,0)</f>
        <v>Q2</v>
      </c>
      <c r="E770" t="s">
        <v>16</v>
      </c>
      <c r="F770" t="s">
        <v>22</v>
      </c>
      <c r="G770" t="s">
        <v>264</v>
      </c>
      <c r="H770" t="s">
        <v>14</v>
      </c>
      <c r="I770" t="s">
        <v>8</v>
      </c>
      <c r="J770" s="4">
        <v>5</v>
      </c>
      <c r="K770" s="3">
        <v>2707.66</v>
      </c>
      <c r="L770">
        <v>5</v>
      </c>
      <c r="M770" s="2">
        <v>12861.38</v>
      </c>
      <c r="N770" s="2">
        <v>8475.4599999999991</v>
      </c>
      <c r="O770" s="2">
        <v>4385.92</v>
      </c>
      <c r="P770" s="1">
        <f>(Sales_Data[[#This Row],[Profit]]/Sales_Data[[#This Row],[Revenue]])</f>
        <v>0.3410147278130341</v>
      </c>
    </row>
    <row r="771" spans="1:16" x14ac:dyDescent="0.35">
      <c r="A771" t="s">
        <v>486</v>
      </c>
      <c r="B771" s="5" t="s">
        <v>485</v>
      </c>
      <c r="C771" s="5" t="s">
        <v>125</v>
      </c>
      <c r="D771" s="5" t="str">
        <f>"Q"&amp;ROUNDUP(MONTH(B771)/3,0)</f>
        <v>Q4</v>
      </c>
      <c r="E771" t="s">
        <v>23</v>
      </c>
      <c r="F771" t="s">
        <v>63</v>
      </c>
      <c r="G771" t="s">
        <v>75</v>
      </c>
      <c r="H771" t="s">
        <v>20</v>
      </c>
      <c r="I771" t="s">
        <v>19</v>
      </c>
      <c r="J771" s="4">
        <v>6</v>
      </c>
      <c r="K771" s="3">
        <v>29.36</v>
      </c>
      <c r="L771">
        <v>5</v>
      </c>
      <c r="M771" s="2">
        <v>167.35</v>
      </c>
      <c r="N771" s="2">
        <v>99.91</v>
      </c>
      <c r="O771" s="2">
        <v>67.44</v>
      </c>
      <c r="P771" s="1">
        <f>(Sales_Data[[#This Row],[Profit]]/Sales_Data[[#This Row],[Revenue]])</f>
        <v>0.40298775022408129</v>
      </c>
    </row>
    <row r="772" spans="1:16" x14ac:dyDescent="0.35">
      <c r="A772" t="s">
        <v>484</v>
      </c>
      <c r="B772" s="5" t="s">
        <v>140</v>
      </c>
      <c r="C772" s="5" t="s">
        <v>125</v>
      </c>
      <c r="D772" s="5" t="str">
        <f>"Q"&amp;ROUNDUP(MONTH(B772)/3,0)</f>
        <v>Q4</v>
      </c>
      <c r="E772" t="s">
        <v>4</v>
      </c>
      <c r="F772" t="s">
        <v>52</v>
      </c>
      <c r="G772" t="s">
        <v>85</v>
      </c>
      <c r="H772" t="s">
        <v>1</v>
      </c>
      <c r="I772" t="s">
        <v>0</v>
      </c>
      <c r="J772" s="4">
        <v>8</v>
      </c>
      <c r="K772" s="3">
        <v>491.67</v>
      </c>
      <c r="L772">
        <v>5</v>
      </c>
      <c r="M772" s="2">
        <v>3736.69</v>
      </c>
      <c r="N772" s="2">
        <v>2106.44</v>
      </c>
      <c r="O772" s="2">
        <v>1630.25</v>
      </c>
      <c r="P772" s="1">
        <f>(Sales_Data[[#This Row],[Profit]]/Sales_Data[[#This Row],[Revenue]])</f>
        <v>0.43628184302149764</v>
      </c>
    </row>
    <row r="773" spans="1:16" x14ac:dyDescent="0.35">
      <c r="A773" t="s">
        <v>483</v>
      </c>
      <c r="B773" s="5" t="s">
        <v>482</v>
      </c>
      <c r="C773" s="5" t="s">
        <v>125</v>
      </c>
      <c r="D773" s="5" t="str">
        <f>"Q"&amp;ROUNDUP(MONTH(B773)/3,0)</f>
        <v>Q4</v>
      </c>
      <c r="E773" t="s">
        <v>4</v>
      </c>
      <c r="F773" t="s">
        <v>22</v>
      </c>
      <c r="G773" t="s">
        <v>238</v>
      </c>
      <c r="H773" t="s">
        <v>50</v>
      </c>
      <c r="I773" t="s">
        <v>49</v>
      </c>
      <c r="J773" s="4">
        <v>3</v>
      </c>
      <c r="K773" s="3">
        <v>4101.26</v>
      </c>
      <c r="L773">
        <v>5</v>
      </c>
      <c r="M773" s="2">
        <v>11688.59</v>
      </c>
      <c r="N773" s="2">
        <v>8331.32</v>
      </c>
      <c r="O773" s="2">
        <v>3357.27</v>
      </c>
      <c r="P773" s="1">
        <f>(Sales_Data[[#This Row],[Profit]]/Sales_Data[[#This Row],[Revenue]])</f>
        <v>0.28722626082358949</v>
      </c>
    </row>
    <row r="774" spans="1:16" x14ac:dyDescent="0.35">
      <c r="A774" t="s">
        <v>481</v>
      </c>
      <c r="B774" s="5" t="s">
        <v>480</v>
      </c>
      <c r="C774" s="5" t="s">
        <v>125</v>
      </c>
      <c r="D774" s="5" t="str">
        <f>"Q"&amp;ROUNDUP(MONTH(B774)/3,0)</f>
        <v>Q4</v>
      </c>
      <c r="E774" t="s">
        <v>16</v>
      </c>
      <c r="F774" t="s">
        <v>52</v>
      </c>
      <c r="G774" t="s">
        <v>35</v>
      </c>
      <c r="H774" t="s">
        <v>9</v>
      </c>
      <c r="I774" t="s">
        <v>8</v>
      </c>
      <c r="J774" s="4">
        <v>8</v>
      </c>
      <c r="K774" s="3">
        <v>62452.93</v>
      </c>
      <c r="L774">
        <v>5</v>
      </c>
      <c r="M774" s="2">
        <v>474642.27</v>
      </c>
      <c r="N774" s="2">
        <v>282277.32</v>
      </c>
      <c r="O774" s="2">
        <v>192364.95</v>
      </c>
      <c r="P774" s="1">
        <f>(Sales_Data[[#This Row],[Profit]]/Sales_Data[[#This Row],[Revenue]])</f>
        <v>0.40528406793604793</v>
      </c>
    </row>
    <row r="775" spans="1:16" x14ac:dyDescent="0.35">
      <c r="A775" t="s">
        <v>479</v>
      </c>
      <c r="B775" s="5" t="s">
        <v>138</v>
      </c>
      <c r="C775" s="5" t="s">
        <v>125</v>
      </c>
      <c r="D775" s="5" t="str">
        <f>"Q"&amp;ROUNDUP(MONTH(B775)/3,0)</f>
        <v>Q4</v>
      </c>
      <c r="E775" t="s">
        <v>36</v>
      </c>
      <c r="F775" t="s">
        <v>52</v>
      </c>
      <c r="G775" t="s">
        <v>31</v>
      </c>
      <c r="H775" t="s">
        <v>34</v>
      </c>
      <c r="I775" t="s">
        <v>8</v>
      </c>
      <c r="J775" s="4">
        <v>4</v>
      </c>
      <c r="K775" s="3">
        <v>24246.12</v>
      </c>
      <c r="L775">
        <v>5</v>
      </c>
      <c r="M775" s="2">
        <v>92135.26</v>
      </c>
      <c r="N775" s="2">
        <v>58169.53</v>
      </c>
      <c r="O775" s="2">
        <v>33965.730000000003</v>
      </c>
      <c r="P775" s="1">
        <f>(Sales_Data[[#This Row],[Profit]]/Sales_Data[[#This Row],[Revenue]])</f>
        <v>0.36865072069042848</v>
      </c>
    </row>
    <row r="776" spans="1:16" x14ac:dyDescent="0.35">
      <c r="A776" t="s">
        <v>478</v>
      </c>
      <c r="B776" s="5" t="s">
        <v>477</v>
      </c>
      <c r="C776" s="5" t="s">
        <v>125</v>
      </c>
      <c r="D776" s="5" t="str">
        <f>"Q"&amp;ROUNDUP(MONTH(B776)/3,0)</f>
        <v>Q4</v>
      </c>
      <c r="E776" t="s">
        <v>16</v>
      </c>
      <c r="F776" t="s">
        <v>63</v>
      </c>
      <c r="G776" t="s">
        <v>309</v>
      </c>
      <c r="H776" t="s">
        <v>9</v>
      </c>
      <c r="I776" t="s">
        <v>8</v>
      </c>
      <c r="J776" s="4">
        <v>6</v>
      </c>
      <c r="K776" s="3">
        <v>57562.559999999998</v>
      </c>
      <c r="L776">
        <v>5</v>
      </c>
      <c r="M776" s="2">
        <v>328106.59000000003</v>
      </c>
      <c r="N776" s="2">
        <v>188797.2</v>
      </c>
      <c r="O776" s="2">
        <v>139309.39000000001</v>
      </c>
      <c r="P776" s="1">
        <f>(Sales_Data[[#This Row],[Profit]]/Sales_Data[[#This Row],[Revenue]])</f>
        <v>0.42458577256860341</v>
      </c>
    </row>
    <row r="777" spans="1:16" x14ac:dyDescent="0.35">
      <c r="A777" t="s">
        <v>476</v>
      </c>
      <c r="B777" s="5" t="s">
        <v>475</v>
      </c>
      <c r="C777" s="5" t="s">
        <v>125</v>
      </c>
      <c r="D777" s="5" t="str">
        <f>"Q"&amp;ROUNDUP(MONTH(B777)/3,0)</f>
        <v>Q4</v>
      </c>
      <c r="E777" t="s">
        <v>36</v>
      </c>
      <c r="F777" t="s">
        <v>11</v>
      </c>
      <c r="G777" t="s">
        <v>169</v>
      </c>
      <c r="H777" t="s">
        <v>1</v>
      </c>
      <c r="I777" t="s">
        <v>0</v>
      </c>
      <c r="J777" s="4">
        <v>3</v>
      </c>
      <c r="K777" s="3">
        <v>463.61</v>
      </c>
      <c r="L777">
        <v>5</v>
      </c>
      <c r="M777" s="2">
        <v>1321.29</v>
      </c>
      <c r="N777" s="2">
        <v>858.65</v>
      </c>
      <c r="O777" s="2">
        <v>462.64</v>
      </c>
      <c r="P777" s="1">
        <f>(Sales_Data[[#This Row],[Profit]]/Sales_Data[[#This Row],[Revenue]])</f>
        <v>0.35014266360904872</v>
      </c>
    </row>
    <row r="778" spans="1:16" x14ac:dyDescent="0.35">
      <c r="A778" t="s">
        <v>474</v>
      </c>
      <c r="B778" s="5" t="s">
        <v>473</v>
      </c>
      <c r="C778" s="5" t="s">
        <v>125</v>
      </c>
      <c r="D778" s="5" t="str">
        <f>"Q"&amp;ROUNDUP(MONTH(B778)/3,0)</f>
        <v>Q4</v>
      </c>
      <c r="E778" t="s">
        <v>16</v>
      </c>
      <c r="F778" t="s">
        <v>11</v>
      </c>
      <c r="G778" t="s">
        <v>264</v>
      </c>
      <c r="H778" t="s">
        <v>59</v>
      </c>
      <c r="I778" t="s">
        <v>0</v>
      </c>
      <c r="J778" s="4">
        <v>6</v>
      </c>
      <c r="K778" s="3">
        <v>1481.12</v>
      </c>
      <c r="L778">
        <v>5</v>
      </c>
      <c r="M778" s="2">
        <v>8442.3799999999992</v>
      </c>
      <c r="N778" s="2">
        <v>6729.86</v>
      </c>
      <c r="O778" s="2">
        <v>1712.52</v>
      </c>
      <c r="P778" s="1">
        <f>(Sales_Data[[#This Row],[Profit]]/Sales_Data[[#This Row],[Revenue]])</f>
        <v>0.20284801205347308</v>
      </c>
    </row>
    <row r="779" spans="1:16" x14ac:dyDescent="0.35">
      <c r="A779" t="s">
        <v>472</v>
      </c>
      <c r="B779" s="5" t="s">
        <v>133</v>
      </c>
      <c r="C779" s="5" t="s">
        <v>125</v>
      </c>
      <c r="D779" s="5" t="str">
        <f>"Q"&amp;ROUNDUP(MONTH(B779)/3,0)</f>
        <v>Q4</v>
      </c>
      <c r="E779" t="s">
        <v>23</v>
      </c>
      <c r="F779" t="s">
        <v>56</v>
      </c>
      <c r="G779" t="s">
        <v>75</v>
      </c>
      <c r="H779" t="s">
        <v>34</v>
      </c>
      <c r="I779" t="s">
        <v>8</v>
      </c>
      <c r="J779" s="4">
        <v>5</v>
      </c>
      <c r="K779" s="3">
        <v>26105.79</v>
      </c>
      <c r="L779">
        <v>5</v>
      </c>
      <c r="M779" s="2">
        <v>124002.5</v>
      </c>
      <c r="N779" s="2">
        <v>89122.33</v>
      </c>
      <c r="O779" s="2">
        <v>34880.17</v>
      </c>
      <c r="P779" s="1">
        <f>(Sales_Data[[#This Row],[Profit]]/Sales_Data[[#This Row],[Revenue]])</f>
        <v>0.28128602245922457</v>
      </c>
    </row>
    <row r="780" spans="1:16" x14ac:dyDescent="0.35">
      <c r="A780" t="s">
        <v>471</v>
      </c>
      <c r="B780" s="5" t="s">
        <v>145</v>
      </c>
      <c r="C780" s="5" t="s">
        <v>125</v>
      </c>
      <c r="D780" s="5" t="str">
        <f>"Q"&amp;ROUNDUP(MONTH(B780)/3,0)</f>
        <v>Q4</v>
      </c>
      <c r="E780" t="s">
        <v>16</v>
      </c>
      <c r="F780" t="s">
        <v>22</v>
      </c>
      <c r="G780" t="s">
        <v>369</v>
      </c>
      <c r="H780" t="s">
        <v>50</v>
      </c>
      <c r="I780" t="s">
        <v>49</v>
      </c>
      <c r="J780" s="4">
        <v>4</v>
      </c>
      <c r="K780" s="3">
        <v>4083.2</v>
      </c>
      <c r="L780">
        <v>5</v>
      </c>
      <c r="M780" s="2">
        <v>15516.16</v>
      </c>
      <c r="N780" s="2">
        <v>10845.72</v>
      </c>
      <c r="O780" s="2">
        <v>4670.4399999999996</v>
      </c>
      <c r="P780" s="1">
        <f>(Sales_Data[[#This Row],[Profit]]/Sales_Data[[#This Row],[Revenue]])</f>
        <v>0.30100488780729251</v>
      </c>
    </row>
    <row r="781" spans="1:16" x14ac:dyDescent="0.35">
      <c r="A781" t="s">
        <v>470</v>
      </c>
      <c r="B781" s="5" t="s">
        <v>469</v>
      </c>
      <c r="C781" s="5" t="s">
        <v>125</v>
      </c>
      <c r="D781" s="5" t="str">
        <f>"Q"&amp;ROUNDUP(MONTH(B781)/3,0)</f>
        <v>Q4</v>
      </c>
      <c r="E781" t="s">
        <v>16</v>
      </c>
      <c r="F781" t="s">
        <v>22</v>
      </c>
      <c r="G781" t="s">
        <v>29</v>
      </c>
      <c r="H781" t="s">
        <v>1</v>
      </c>
      <c r="I781" t="s">
        <v>0</v>
      </c>
      <c r="J781" s="4">
        <v>3</v>
      </c>
      <c r="K781" s="3">
        <v>466.71</v>
      </c>
      <c r="L781">
        <v>5</v>
      </c>
      <c r="M781" s="2">
        <v>1330.12</v>
      </c>
      <c r="N781" s="2">
        <v>743.1</v>
      </c>
      <c r="O781" s="2">
        <v>587.02</v>
      </c>
      <c r="P781" s="1">
        <f>(Sales_Data[[#This Row],[Profit]]/Sales_Data[[#This Row],[Revenue]])</f>
        <v>0.44132860193065288</v>
      </c>
    </row>
    <row r="782" spans="1:16" x14ac:dyDescent="0.35">
      <c r="A782" t="s">
        <v>468</v>
      </c>
      <c r="B782" s="5" t="s">
        <v>467</v>
      </c>
      <c r="C782" s="5" t="s">
        <v>125</v>
      </c>
      <c r="D782" s="5" t="str">
        <f>"Q"&amp;ROUNDUP(MONTH(B782)/3,0)</f>
        <v>Q4</v>
      </c>
      <c r="E782" t="s">
        <v>23</v>
      </c>
      <c r="F782" t="s">
        <v>52</v>
      </c>
      <c r="G782" t="s">
        <v>191</v>
      </c>
      <c r="H782" t="s">
        <v>9</v>
      </c>
      <c r="I782" t="s">
        <v>8</v>
      </c>
      <c r="J782" s="4">
        <v>2</v>
      </c>
      <c r="K782" s="3">
        <v>56016.1</v>
      </c>
      <c r="L782">
        <v>5</v>
      </c>
      <c r="M782" s="2">
        <v>106430.59</v>
      </c>
      <c r="N782" s="2">
        <v>78845.490000000005</v>
      </c>
      <c r="O782" s="2">
        <v>27585.1</v>
      </c>
      <c r="P782" s="1">
        <f>(Sales_Data[[#This Row],[Profit]]/Sales_Data[[#This Row],[Revenue]])</f>
        <v>0.25918394326292843</v>
      </c>
    </row>
    <row r="783" spans="1:16" x14ac:dyDescent="0.35">
      <c r="A783" t="s">
        <v>466</v>
      </c>
      <c r="B783" s="5" t="s">
        <v>465</v>
      </c>
      <c r="C783" s="5" t="s">
        <v>72</v>
      </c>
      <c r="D783" s="5" t="str">
        <f>"Q"&amp;ROUNDUP(MONTH(B783)/3,0)</f>
        <v>Q4</v>
      </c>
      <c r="E783" t="s">
        <v>4</v>
      </c>
      <c r="F783" t="s">
        <v>3</v>
      </c>
      <c r="G783" t="s">
        <v>191</v>
      </c>
      <c r="H783" t="s">
        <v>50</v>
      </c>
      <c r="I783" t="s">
        <v>49</v>
      </c>
      <c r="J783" s="4">
        <v>2</v>
      </c>
      <c r="K783" s="3">
        <v>4060.06</v>
      </c>
      <c r="L783">
        <v>5</v>
      </c>
      <c r="M783" s="2">
        <v>7714.11</v>
      </c>
      <c r="N783" s="2">
        <v>4264.8599999999997</v>
      </c>
      <c r="O783" s="2">
        <v>3449.25</v>
      </c>
      <c r="P783" s="1">
        <f>(Sales_Data[[#This Row],[Profit]]/Sales_Data[[#This Row],[Revenue]])</f>
        <v>0.44713518474587477</v>
      </c>
    </row>
    <row r="784" spans="1:16" x14ac:dyDescent="0.35">
      <c r="A784" t="s">
        <v>464</v>
      </c>
      <c r="B784" s="5" t="s">
        <v>463</v>
      </c>
      <c r="C784" s="5" t="s">
        <v>72</v>
      </c>
      <c r="D784" s="5" t="str">
        <f>"Q"&amp;ROUNDUP(MONTH(B784)/3,0)</f>
        <v>Q4</v>
      </c>
      <c r="E784" t="s">
        <v>36</v>
      </c>
      <c r="F784" t="s">
        <v>11</v>
      </c>
      <c r="G784" t="s">
        <v>191</v>
      </c>
      <c r="H784" t="s">
        <v>34</v>
      </c>
      <c r="I784" t="s">
        <v>8</v>
      </c>
      <c r="J784" s="4">
        <v>5</v>
      </c>
      <c r="K784" s="3">
        <v>24086.67</v>
      </c>
      <c r="L784">
        <v>5</v>
      </c>
      <c r="M784" s="2">
        <v>114411.68</v>
      </c>
      <c r="N784" s="2">
        <v>80787.789999999994</v>
      </c>
      <c r="O784" s="2">
        <v>33623.89</v>
      </c>
      <c r="P784" s="1">
        <f>(Sales_Data[[#This Row],[Profit]]/Sales_Data[[#This Row],[Revenue]])</f>
        <v>0.29388511732368583</v>
      </c>
    </row>
    <row r="785" spans="1:16" x14ac:dyDescent="0.35">
      <c r="A785" t="s">
        <v>462</v>
      </c>
      <c r="B785" s="5" t="s">
        <v>83</v>
      </c>
      <c r="C785" s="5" t="s">
        <v>72</v>
      </c>
      <c r="D785" s="5" t="str">
        <f>"Q"&amp;ROUNDUP(MONTH(B785)/3,0)</f>
        <v>Q4</v>
      </c>
      <c r="E785" t="s">
        <v>16</v>
      </c>
      <c r="F785" t="s">
        <v>11</v>
      </c>
      <c r="G785" t="s">
        <v>220</v>
      </c>
      <c r="H785" t="s">
        <v>14</v>
      </c>
      <c r="I785" t="s">
        <v>8</v>
      </c>
      <c r="J785" s="4">
        <v>8</v>
      </c>
      <c r="K785" s="3">
        <v>2559.4299999999998</v>
      </c>
      <c r="L785">
        <v>5</v>
      </c>
      <c r="M785" s="2">
        <v>19451.669999999998</v>
      </c>
      <c r="N785" s="2">
        <v>11694.87</v>
      </c>
      <c r="O785" s="2">
        <v>7756.8</v>
      </c>
      <c r="P785" s="1">
        <f>(Sales_Data[[#This Row],[Profit]]/Sales_Data[[#This Row],[Revenue]])</f>
        <v>0.39877295882564329</v>
      </c>
    </row>
    <row r="786" spans="1:16" x14ac:dyDescent="0.35">
      <c r="A786" t="s">
        <v>461</v>
      </c>
      <c r="B786" s="5" t="s">
        <v>449</v>
      </c>
      <c r="C786" s="5" t="s">
        <v>72</v>
      </c>
      <c r="D786" s="5" t="str">
        <f>"Q"&amp;ROUNDUP(MONTH(B786)/3,0)</f>
        <v>Q4</v>
      </c>
      <c r="E786" t="s">
        <v>23</v>
      </c>
      <c r="F786" t="s">
        <v>63</v>
      </c>
      <c r="G786" t="s">
        <v>98</v>
      </c>
      <c r="H786" t="s">
        <v>9</v>
      </c>
      <c r="I786" t="s">
        <v>8</v>
      </c>
      <c r="J786" s="4">
        <v>2</v>
      </c>
      <c r="K786" s="3">
        <v>62387.25</v>
      </c>
      <c r="L786">
        <v>5</v>
      </c>
      <c r="M786" s="2">
        <v>118535.77</v>
      </c>
      <c r="N786" s="2">
        <v>94235.46</v>
      </c>
      <c r="O786" s="2">
        <v>24300.31</v>
      </c>
      <c r="P786" s="1">
        <f>(Sales_Data[[#This Row],[Profit]]/Sales_Data[[#This Row],[Revenue]])</f>
        <v>0.20500402536719506</v>
      </c>
    </row>
    <row r="787" spans="1:16" x14ac:dyDescent="0.35">
      <c r="A787" t="s">
        <v>460</v>
      </c>
      <c r="B787" s="5" t="s">
        <v>109</v>
      </c>
      <c r="C787" s="5" t="s">
        <v>72</v>
      </c>
      <c r="D787" s="5" t="str">
        <f>"Q"&amp;ROUNDUP(MONTH(B787)/3,0)</f>
        <v>Q4</v>
      </c>
      <c r="E787" t="s">
        <v>23</v>
      </c>
      <c r="F787" t="s">
        <v>11</v>
      </c>
      <c r="G787" t="s">
        <v>150</v>
      </c>
      <c r="H787" t="s">
        <v>14</v>
      </c>
      <c r="I787" t="s">
        <v>8</v>
      </c>
      <c r="J787" s="4">
        <v>1</v>
      </c>
      <c r="K787" s="3">
        <v>2490</v>
      </c>
      <c r="L787">
        <v>5</v>
      </c>
      <c r="M787" s="2">
        <v>2365.5</v>
      </c>
      <c r="N787" s="2">
        <v>1487.24</v>
      </c>
      <c r="O787" s="2">
        <v>878.26</v>
      </c>
      <c r="P787" s="1">
        <f>(Sales_Data[[#This Row],[Profit]]/Sales_Data[[#This Row],[Revenue]])</f>
        <v>0.37127879940815894</v>
      </c>
    </row>
    <row r="788" spans="1:16" x14ac:dyDescent="0.35">
      <c r="A788" t="s">
        <v>459</v>
      </c>
      <c r="B788" s="5" t="s">
        <v>73</v>
      </c>
      <c r="C788" s="5" t="s">
        <v>72</v>
      </c>
      <c r="D788" s="5" t="str">
        <f>"Q"&amp;ROUNDUP(MONTH(B788)/3,0)</f>
        <v>Q4</v>
      </c>
      <c r="E788" t="s">
        <v>4</v>
      </c>
      <c r="F788" t="s">
        <v>11</v>
      </c>
      <c r="G788" t="s">
        <v>10</v>
      </c>
      <c r="H788" t="s">
        <v>111</v>
      </c>
      <c r="I788" t="s">
        <v>49</v>
      </c>
      <c r="J788" s="4">
        <v>4</v>
      </c>
      <c r="K788" s="3">
        <v>7799.24</v>
      </c>
      <c r="L788">
        <v>5</v>
      </c>
      <c r="M788" s="2">
        <v>29637.11</v>
      </c>
      <c r="N788" s="2">
        <v>19961.59</v>
      </c>
      <c r="O788" s="2">
        <v>9675.52</v>
      </c>
      <c r="P788" s="1">
        <f>(Sales_Data[[#This Row],[Profit]]/Sales_Data[[#This Row],[Revenue]])</f>
        <v>0.32646637948167012</v>
      </c>
    </row>
    <row r="789" spans="1:16" x14ac:dyDescent="0.35">
      <c r="A789" t="s">
        <v>458</v>
      </c>
      <c r="B789" s="5" t="s">
        <v>73</v>
      </c>
      <c r="C789" s="5" t="s">
        <v>72</v>
      </c>
      <c r="D789" s="5" t="str">
        <f>"Q"&amp;ROUNDUP(MONTH(B789)/3,0)</f>
        <v>Q4</v>
      </c>
      <c r="E789" t="s">
        <v>23</v>
      </c>
      <c r="F789" t="s">
        <v>11</v>
      </c>
      <c r="G789" t="s">
        <v>39</v>
      </c>
      <c r="H789" t="s">
        <v>78</v>
      </c>
      <c r="I789" t="s">
        <v>19</v>
      </c>
      <c r="J789" s="4">
        <v>2</v>
      </c>
      <c r="K789" s="3">
        <v>116.81</v>
      </c>
      <c r="L789">
        <v>5</v>
      </c>
      <c r="M789" s="2">
        <v>221.94</v>
      </c>
      <c r="N789" s="2">
        <v>157.66999999999999</v>
      </c>
      <c r="O789" s="2">
        <v>64.27</v>
      </c>
      <c r="P789" s="1">
        <f>(Sales_Data[[#This Row],[Profit]]/Sales_Data[[#This Row],[Revenue]])</f>
        <v>0.28958277011804989</v>
      </c>
    </row>
    <row r="790" spans="1:16" x14ac:dyDescent="0.35">
      <c r="A790" t="s">
        <v>457</v>
      </c>
      <c r="B790" s="5" t="s">
        <v>102</v>
      </c>
      <c r="C790" s="5" t="s">
        <v>72</v>
      </c>
      <c r="D790" s="5" t="str">
        <f>"Q"&amp;ROUNDUP(MONTH(B790)/3,0)</f>
        <v>Q4</v>
      </c>
      <c r="E790" t="s">
        <v>16</v>
      </c>
      <c r="F790" t="s">
        <v>52</v>
      </c>
      <c r="G790" t="s">
        <v>68</v>
      </c>
      <c r="H790" t="s">
        <v>14</v>
      </c>
      <c r="I790" t="s">
        <v>8</v>
      </c>
      <c r="J790" s="4">
        <v>2</v>
      </c>
      <c r="K790" s="3">
        <v>2356.9299999999998</v>
      </c>
      <c r="L790">
        <v>5</v>
      </c>
      <c r="M790" s="2">
        <v>4478.17</v>
      </c>
      <c r="N790" s="2">
        <v>3208.79</v>
      </c>
      <c r="O790" s="2">
        <v>1269.3800000000001</v>
      </c>
      <c r="P790" s="1">
        <f>(Sales_Data[[#This Row],[Profit]]/Sales_Data[[#This Row],[Revenue]])</f>
        <v>0.28345953815956071</v>
      </c>
    </row>
    <row r="791" spans="1:16" x14ac:dyDescent="0.35">
      <c r="A791" t="s">
        <v>456</v>
      </c>
      <c r="B791" s="5" t="s">
        <v>99</v>
      </c>
      <c r="C791" s="5" t="s">
        <v>72</v>
      </c>
      <c r="D791" s="5" t="str">
        <f>"Q"&amp;ROUNDUP(MONTH(B791)/3,0)</f>
        <v>Q4</v>
      </c>
      <c r="E791" t="s">
        <v>23</v>
      </c>
      <c r="F791" t="s">
        <v>3</v>
      </c>
      <c r="G791" t="s">
        <v>309</v>
      </c>
      <c r="H791" t="s">
        <v>45</v>
      </c>
      <c r="I791" t="s">
        <v>8</v>
      </c>
      <c r="J791" s="4">
        <v>7</v>
      </c>
      <c r="K791" s="3">
        <v>859.04</v>
      </c>
      <c r="L791">
        <v>5</v>
      </c>
      <c r="M791" s="2">
        <v>5712.62</v>
      </c>
      <c r="N791" s="2">
        <v>3522.42</v>
      </c>
      <c r="O791" s="2">
        <v>2190.1999999999998</v>
      </c>
      <c r="P791" s="1">
        <f>(Sales_Data[[#This Row],[Profit]]/Sales_Data[[#This Row],[Revenue]])</f>
        <v>0.38339676015558533</v>
      </c>
    </row>
    <row r="792" spans="1:16" x14ac:dyDescent="0.35">
      <c r="A792" t="s">
        <v>455</v>
      </c>
      <c r="B792" s="5" t="s">
        <v>454</v>
      </c>
      <c r="C792" s="5" t="s">
        <v>72</v>
      </c>
      <c r="D792" s="5" t="str">
        <f>"Q"&amp;ROUNDUP(MONTH(B792)/3,0)</f>
        <v>Q4</v>
      </c>
      <c r="E792" t="s">
        <v>4</v>
      </c>
      <c r="F792" t="s">
        <v>56</v>
      </c>
      <c r="G792" t="s">
        <v>98</v>
      </c>
      <c r="H792" t="s">
        <v>78</v>
      </c>
      <c r="I792" t="s">
        <v>19</v>
      </c>
      <c r="J792" s="4">
        <v>6</v>
      </c>
      <c r="K792" s="3">
        <v>110.82</v>
      </c>
      <c r="L792">
        <v>5</v>
      </c>
      <c r="M792" s="2">
        <v>631.66999999999996</v>
      </c>
      <c r="N792" s="2">
        <v>408.93</v>
      </c>
      <c r="O792" s="2">
        <v>222.74</v>
      </c>
      <c r="P792" s="1">
        <f>(Sales_Data[[#This Row],[Profit]]/Sales_Data[[#This Row],[Revenue]])</f>
        <v>0.35262083049693671</v>
      </c>
    </row>
    <row r="793" spans="1:16" x14ac:dyDescent="0.35">
      <c r="A793" t="s">
        <v>453</v>
      </c>
      <c r="B793" s="5" t="s">
        <v>452</v>
      </c>
      <c r="C793" s="5" t="s">
        <v>72</v>
      </c>
      <c r="D793" s="5" t="str">
        <f>"Q"&amp;ROUNDUP(MONTH(B793)/3,0)</f>
        <v>Q4</v>
      </c>
      <c r="E793" t="s">
        <v>23</v>
      </c>
      <c r="F793" t="s">
        <v>11</v>
      </c>
      <c r="G793" t="s">
        <v>101</v>
      </c>
      <c r="H793" t="s">
        <v>50</v>
      </c>
      <c r="I793" t="s">
        <v>49</v>
      </c>
      <c r="J793" s="4">
        <v>8</v>
      </c>
      <c r="K793" s="3">
        <v>4886.79</v>
      </c>
      <c r="L793">
        <v>5</v>
      </c>
      <c r="M793" s="2">
        <v>37139.599999999999</v>
      </c>
      <c r="N793" s="2">
        <v>28025.38</v>
      </c>
      <c r="O793" s="2">
        <v>9114.2199999999993</v>
      </c>
      <c r="P793" s="1">
        <f>(Sales_Data[[#This Row],[Profit]]/Sales_Data[[#This Row],[Revenue]])</f>
        <v>0.24540436622903855</v>
      </c>
    </row>
    <row r="794" spans="1:16" x14ac:dyDescent="0.35">
      <c r="A794" t="s">
        <v>451</v>
      </c>
      <c r="B794" s="5" t="s">
        <v>93</v>
      </c>
      <c r="C794" s="5" t="s">
        <v>72</v>
      </c>
      <c r="D794" s="5" t="str">
        <f>"Q"&amp;ROUNDUP(MONTH(B794)/3,0)</f>
        <v>Q4</v>
      </c>
      <c r="E794" t="s">
        <v>23</v>
      </c>
      <c r="F794" t="s">
        <v>52</v>
      </c>
      <c r="G794" t="s">
        <v>21</v>
      </c>
      <c r="H794" t="s">
        <v>34</v>
      </c>
      <c r="I794" t="s">
        <v>8</v>
      </c>
      <c r="J794" s="4">
        <v>8</v>
      </c>
      <c r="K794" s="3">
        <v>27446.46</v>
      </c>
      <c r="L794">
        <v>5</v>
      </c>
      <c r="M794" s="2">
        <v>208593.1</v>
      </c>
      <c r="N794" s="2">
        <v>153661.15</v>
      </c>
      <c r="O794" s="2">
        <v>54931.95</v>
      </c>
      <c r="P794" s="1">
        <f>(Sales_Data[[#This Row],[Profit]]/Sales_Data[[#This Row],[Revenue]])</f>
        <v>0.26334500038591879</v>
      </c>
    </row>
    <row r="795" spans="1:16" x14ac:dyDescent="0.35">
      <c r="A795" t="s">
        <v>450</v>
      </c>
      <c r="B795" s="5" t="s">
        <v>449</v>
      </c>
      <c r="C795" s="5" t="s">
        <v>72</v>
      </c>
      <c r="D795" s="5" t="str">
        <f>"Q"&amp;ROUNDUP(MONTH(B795)/3,0)</f>
        <v>Q4</v>
      </c>
      <c r="E795" t="s">
        <v>4</v>
      </c>
      <c r="F795" t="s">
        <v>22</v>
      </c>
      <c r="G795" t="s">
        <v>104</v>
      </c>
      <c r="H795" t="s">
        <v>14</v>
      </c>
      <c r="I795" t="s">
        <v>8</v>
      </c>
      <c r="J795" s="4">
        <v>3</v>
      </c>
      <c r="K795" s="3">
        <v>2743.16</v>
      </c>
      <c r="L795">
        <v>5</v>
      </c>
      <c r="M795" s="2">
        <v>7818.01</v>
      </c>
      <c r="N795" s="2">
        <v>6224.23</v>
      </c>
      <c r="O795" s="2">
        <v>1593.78</v>
      </c>
      <c r="P795" s="1">
        <f>(Sales_Data[[#This Row],[Profit]]/Sales_Data[[#This Row],[Revenue]])</f>
        <v>0.20386006157577183</v>
      </c>
    </row>
    <row r="796" spans="1:16" x14ac:dyDescent="0.35">
      <c r="A796" t="s">
        <v>448</v>
      </c>
      <c r="B796" s="5" t="s">
        <v>439</v>
      </c>
      <c r="C796" s="5" t="s">
        <v>5</v>
      </c>
      <c r="D796" s="5" t="str">
        <f>"Q"&amp;ROUNDUP(MONTH(B796)/3,0)</f>
        <v>Q3</v>
      </c>
      <c r="E796" t="s">
        <v>4</v>
      </c>
      <c r="F796" t="s">
        <v>63</v>
      </c>
      <c r="G796" t="s">
        <v>15</v>
      </c>
      <c r="H796" t="s">
        <v>111</v>
      </c>
      <c r="I796" t="s">
        <v>49</v>
      </c>
      <c r="J796" s="4">
        <v>1</v>
      </c>
      <c r="K796" s="3">
        <v>8100.34</v>
      </c>
      <c r="L796">
        <v>5</v>
      </c>
      <c r="M796" s="2">
        <v>7695.32</v>
      </c>
      <c r="N796" s="2">
        <v>5165.09</v>
      </c>
      <c r="O796" s="2">
        <v>2530.23</v>
      </c>
      <c r="P796" s="1">
        <f>(Sales_Data[[#This Row],[Profit]]/Sales_Data[[#This Row],[Revenue]])</f>
        <v>0.32880114147299921</v>
      </c>
    </row>
    <row r="797" spans="1:16" x14ac:dyDescent="0.35">
      <c r="A797" t="s">
        <v>447</v>
      </c>
      <c r="B797" s="5" t="s">
        <v>64</v>
      </c>
      <c r="C797" s="5" t="s">
        <v>5</v>
      </c>
      <c r="D797" s="5" t="str">
        <f>"Q"&amp;ROUNDUP(MONTH(B797)/3,0)</f>
        <v>Q3</v>
      </c>
      <c r="E797" t="s">
        <v>36</v>
      </c>
      <c r="F797" t="s">
        <v>22</v>
      </c>
      <c r="G797" t="s">
        <v>26</v>
      </c>
      <c r="H797" t="s">
        <v>50</v>
      </c>
      <c r="I797" t="s">
        <v>49</v>
      </c>
      <c r="J797" s="4">
        <v>1</v>
      </c>
      <c r="K797" s="3">
        <v>4487.58</v>
      </c>
      <c r="L797">
        <v>5</v>
      </c>
      <c r="M797" s="2">
        <v>4263.2</v>
      </c>
      <c r="N797" s="2">
        <v>2642.54</v>
      </c>
      <c r="O797" s="2">
        <v>1620.66</v>
      </c>
      <c r="P797" s="1">
        <f>(Sales_Data[[#This Row],[Profit]]/Sales_Data[[#This Row],[Revenue]])</f>
        <v>0.38015106023644213</v>
      </c>
    </row>
    <row r="798" spans="1:16" x14ac:dyDescent="0.35">
      <c r="A798" t="s">
        <v>446</v>
      </c>
      <c r="B798" s="5" t="s">
        <v>17</v>
      </c>
      <c r="C798" s="5" t="s">
        <v>5</v>
      </c>
      <c r="D798" s="5" t="str">
        <f>"Q"&amp;ROUNDUP(MONTH(B798)/3,0)</f>
        <v>Q3</v>
      </c>
      <c r="E798" t="s">
        <v>23</v>
      </c>
      <c r="F798" t="s">
        <v>3</v>
      </c>
      <c r="G798" t="s">
        <v>191</v>
      </c>
      <c r="H798" t="s">
        <v>14</v>
      </c>
      <c r="I798" t="s">
        <v>8</v>
      </c>
      <c r="J798" s="4">
        <v>8</v>
      </c>
      <c r="K798" s="3">
        <v>2494.17</v>
      </c>
      <c r="L798">
        <v>5</v>
      </c>
      <c r="M798" s="2">
        <v>18955.689999999999</v>
      </c>
      <c r="N798" s="2">
        <v>13903.27</v>
      </c>
      <c r="O798" s="2">
        <v>5052.42</v>
      </c>
      <c r="P798" s="1">
        <f>(Sales_Data[[#This Row],[Profit]]/Sales_Data[[#This Row],[Revenue]])</f>
        <v>0.26653843779888786</v>
      </c>
    </row>
    <row r="799" spans="1:16" x14ac:dyDescent="0.35">
      <c r="A799" t="s">
        <v>445</v>
      </c>
      <c r="B799" s="5" t="s">
        <v>43</v>
      </c>
      <c r="C799" s="5" t="s">
        <v>5</v>
      </c>
      <c r="D799" s="5" t="str">
        <f>"Q"&amp;ROUNDUP(MONTH(B799)/3,0)</f>
        <v>Q3</v>
      </c>
      <c r="E799" t="s">
        <v>4</v>
      </c>
      <c r="F799" t="s">
        <v>22</v>
      </c>
      <c r="G799" t="s">
        <v>309</v>
      </c>
      <c r="H799" t="s">
        <v>14</v>
      </c>
      <c r="I799" t="s">
        <v>8</v>
      </c>
      <c r="J799" s="4">
        <v>8</v>
      </c>
      <c r="K799" s="3">
        <v>2451.37</v>
      </c>
      <c r="L799">
        <v>5</v>
      </c>
      <c r="M799" s="2">
        <v>18630.41</v>
      </c>
      <c r="N799" s="2">
        <v>11419.71</v>
      </c>
      <c r="O799" s="2">
        <v>7210.7</v>
      </c>
      <c r="P799" s="1">
        <f>(Sales_Data[[#This Row],[Profit]]/Sales_Data[[#This Row],[Revenue]])</f>
        <v>0.38703925463798167</v>
      </c>
    </row>
    <row r="800" spans="1:16" x14ac:dyDescent="0.35">
      <c r="A800" t="s">
        <v>444</v>
      </c>
      <c r="B800" s="5" t="s">
        <v>443</v>
      </c>
      <c r="C800" s="5" t="s">
        <v>5</v>
      </c>
      <c r="D800" s="5" t="str">
        <f>"Q"&amp;ROUNDUP(MONTH(B800)/3,0)</f>
        <v>Q3</v>
      </c>
      <c r="E800" t="s">
        <v>23</v>
      </c>
      <c r="F800" t="s">
        <v>22</v>
      </c>
      <c r="G800" t="s">
        <v>124</v>
      </c>
      <c r="H800" t="s">
        <v>78</v>
      </c>
      <c r="I800" t="s">
        <v>19</v>
      </c>
      <c r="J800" s="4">
        <v>1</v>
      </c>
      <c r="K800" s="3">
        <v>121.17</v>
      </c>
      <c r="L800">
        <v>5</v>
      </c>
      <c r="M800" s="2">
        <v>115.11</v>
      </c>
      <c r="N800" s="2">
        <v>85.24</v>
      </c>
      <c r="O800" s="2">
        <v>29.87</v>
      </c>
      <c r="P800" s="1">
        <f>(Sales_Data[[#This Row],[Profit]]/Sales_Data[[#This Row],[Revenue]])</f>
        <v>0.25949092172704369</v>
      </c>
    </row>
    <row r="801" spans="1:16" x14ac:dyDescent="0.35">
      <c r="A801" t="s">
        <v>442</v>
      </c>
      <c r="B801" s="5" t="s">
        <v>441</v>
      </c>
      <c r="C801" s="5" t="s">
        <v>5</v>
      </c>
      <c r="D801" s="5" t="str">
        <f>"Q"&amp;ROUNDUP(MONTH(B801)/3,0)</f>
        <v>Q3</v>
      </c>
      <c r="E801" t="s">
        <v>23</v>
      </c>
      <c r="F801" t="s">
        <v>56</v>
      </c>
      <c r="G801" t="s">
        <v>112</v>
      </c>
      <c r="H801" t="s">
        <v>9</v>
      </c>
      <c r="I801" t="s">
        <v>8</v>
      </c>
      <c r="J801" s="4">
        <v>5</v>
      </c>
      <c r="K801" s="3">
        <v>58770.58</v>
      </c>
      <c r="L801">
        <v>5</v>
      </c>
      <c r="M801" s="2">
        <v>279160.26</v>
      </c>
      <c r="N801" s="2">
        <v>170395.03</v>
      </c>
      <c r="O801" s="2">
        <v>108765.23</v>
      </c>
      <c r="P801" s="1">
        <f>(Sales_Data[[#This Row],[Profit]]/Sales_Data[[#This Row],[Revenue]])</f>
        <v>0.3896157354202206</v>
      </c>
    </row>
    <row r="802" spans="1:16" x14ac:dyDescent="0.35">
      <c r="A802" t="s">
        <v>440</v>
      </c>
      <c r="B802" s="5" t="s">
        <v>439</v>
      </c>
      <c r="C802" s="5" t="s">
        <v>5</v>
      </c>
      <c r="D802" s="5" t="str">
        <f>"Q"&amp;ROUNDUP(MONTH(B802)/3,0)</f>
        <v>Q3</v>
      </c>
      <c r="E802" t="s">
        <v>23</v>
      </c>
      <c r="F802" t="s">
        <v>63</v>
      </c>
      <c r="G802" t="s">
        <v>42</v>
      </c>
      <c r="H802" t="s">
        <v>34</v>
      </c>
      <c r="I802" t="s">
        <v>8</v>
      </c>
      <c r="J802" s="4">
        <v>5</v>
      </c>
      <c r="K802" s="3">
        <v>22529.040000000001</v>
      </c>
      <c r="L802">
        <v>5</v>
      </c>
      <c r="M802" s="2">
        <v>107012.94</v>
      </c>
      <c r="N802" s="2">
        <v>86069.96</v>
      </c>
      <c r="O802" s="2">
        <v>20942.98</v>
      </c>
      <c r="P802" s="1">
        <f>(Sales_Data[[#This Row],[Profit]]/Sales_Data[[#This Row],[Revenue]])</f>
        <v>0.19570511753064629</v>
      </c>
    </row>
    <row r="803" spans="1:16" x14ac:dyDescent="0.35">
      <c r="A803" t="s">
        <v>438</v>
      </c>
      <c r="B803" s="5" t="s">
        <v>437</v>
      </c>
      <c r="C803" s="5" t="s">
        <v>5</v>
      </c>
      <c r="D803" s="5" t="str">
        <f>"Q"&amp;ROUNDUP(MONTH(B803)/3,0)</f>
        <v>Q3</v>
      </c>
      <c r="E803" t="s">
        <v>4</v>
      </c>
      <c r="F803" t="s">
        <v>56</v>
      </c>
      <c r="G803" t="s">
        <v>159</v>
      </c>
      <c r="H803" t="s">
        <v>111</v>
      </c>
      <c r="I803" t="s">
        <v>49</v>
      </c>
      <c r="J803" s="4">
        <v>8</v>
      </c>
      <c r="K803" s="3">
        <v>8468.31</v>
      </c>
      <c r="L803">
        <v>5</v>
      </c>
      <c r="M803" s="2">
        <v>64359.16</v>
      </c>
      <c r="N803" s="2">
        <v>53779.44</v>
      </c>
      <c r="O803" s="2">
        <v>10579.72</v>
      </c>
      <c r="P803" s="1">
        <f>(Sales_Data[[#This Row],[Profit]]/Sales_Data[[#This Row],[Revenue]])</f>
        <v>0.16438561348532205</v>
      </c>
    </row>
    <row r="804" spans="1:16" x14ac:dyDescent="0.35">
      <c r="A804" t="s">
        <v>436</v>
      </c>
      <c r="B804" s="5" t="s">
        <v>435</v>
      </c>
      <c r="C804" s="5" t="s">
        <v>5</v>
      </c>
      <c r="D804" s="5" t="str">
        <f>"Q"&amp;ROUNDUP(MONTH(B804)/3,0)</f>
        <v>Q3</v>
      </c>
      <c r="E804" t="s">
        <v>4</v>
      </c>
      <c r="F804" t="s">
        <v>63</v>
      </c>
      <c r="G804" t="s">
        <v>21</v>
      </c>
      <c r="H804" t="s">
        <v>45</v>
      </c>
      <c r="I804" t="s">
        <v>8</v>
      </c>
      <c r="J804" s="4">
        <v>4</v>
      </c>
      <c r="K804" s="3">
        <v>904.85</v>
      </c>
      <c r="L804">
        <v>5</v>
      </c>
      <c r="M804" s="2">
        <v>3438.43</v>
      </c>
      <c r="N804" s="2">
        <v>2455.09</v>
      </c>
      <c r="O804" s="2">
        <v>983.34</v>
      </c>
      <c r="P804" s="1">
        <f>(Sales_Data[[#This Row],[Profit]]/Sales_Data[[#This Row],[Revenue]])</f>
        <v>0.28598517346579694</v>
      </c>
    </row>
    <row r="805" spans="1:16" x14ac:dyDescent="0.35">
      <c r="A805" t="s">
        <v>434</v>
      </c>
      <c r="B805" s="5" t="s">
        <v>57</v>
      </c>
      <c r="C805" s="5" t="s">
        <v>5</v>
      </c>
      <c r="D805" s="5" t="str">
        <f>"Q"&amp;ROUNDUP(MONTH(B805)/3,0)</f>
        <v>Q3</v>
      </c>
      <c r="E805" t="s">
        <v>4</v>
      </c>
      <c r="F805" t="s">
        <v>63</v>
      </c>
      <c r="G805" t="s">
        <v>31</v>
      </c>
      <c r="H805" t="s">
        <v>111</v>
      </c>
      <c r="I805" t="s">
        <v>49</v>
      </c>
      <c r="J805" s="4">
        <v>5</v>
      </c>
      <c r="K805" s="3">
        <v>8795.0400000000009</v>
      </c>
      <c r="L805">
        <v>5</v>
      </c>
      <c r="M805" s="2">
        <v>41776.44</v>
      </c>
      <c r="N805" s="2">
        <v>31482.09</v>
      </c>
      <c r="O805" s="2">
        <v>10294.35</v>
      </c>
      <c r="P805" s="1">
        <f>(Sales_Data[[#This Row],[Profit]]/Sales_Data[[#This Row],[Revenue]])</f>
        <v>0.24641520435920342</v>
      </c>
    </row>
    <row r="806" spans="1:16" x14ac:dyDescent="0.35">
      <c r="A806" t="s">
        <v>433</v>
      </c>
      <c r="B806" s="5" t="s">
        <v>432</v>
      </c>
      <c r="C806" s="5" t="s">
        <v>5</v>
      </c>
      <c r="D806" s="5" t="str">
        <f>"Q"&amp;ROUNDUP(MONTH(B806)/3,0)</f>
        <v>Q3</v>
      </c>
      <c r="E806" t="s">
        <v>36</v>
      </c>
      <c r="F806" t="s">
        <v>63</v>
      </c>
      <c r="G806" t="s">
        <v>31</v>
      </c>
      <c r="H806" t="s">
        <v>9</v>
      </c>
      <c r="I806" t="s">
        <v>8</v>
      </c>
      <c r="J806" s="4">
        <v>8</v>
      </c>
      <c r="K806" s="3">
        <v>59402.22</v>
      </c>
      <c r="L806">
        <v>5</v>
      </c>
      <c r="M806" s="2">
        <v>451456.87</v>
      </c>
      <c r="N806" s="2">
        <v>275635.48</v>
      </c>
      <c r="O806" s="2">
        <v>175821.39</v>
      </c>
      <c r="P806" s="1">
        <f>(Sales_Data[[#This Row],[Profit]]/Sales_Data[[#This Row],[Revenue]])</f>
        <v>0.3894533491095174</v>
      </c>
    </row>
    <row r="807" spans="1:16" x14ac:dyDescent="0.35">
      <c r="A807" t="s">
        <v>431</v>
      </c>
      <c r="B807" s="5" t="s">
        <v>32</v>
      </c>
      <c r="C807" s="5" t="s">
        <v>5</v>
      </c>
      <c r="D807" s="5" t="str">
        <f>"Q"&amp;ROUNDUP(MONTH(B807)/3,0)</f>
        <v>Q3</v>
      </c>
      <c r="E807" t="s">
        <v>16</v>
      </c>
      <c r="F807" t="s">
        <v>22</v>
      </c>
      <c r="G807" t="s">
        <v>231</v>
      </c>
      <c r="H807" t="s">
        <v>59</v>
      </c>
      <c r="I807" t="s">
        <v>0</v>
      </c>
      <c r="J807" s="4">
        <v>8</v>
      </c>
      <c r="K807" s="3">
        <v>1366.54</v>
      </c>
      <c r="L807">
        <v>5</v>
      </c>
      <c r="M807" s="2">
        <v>10385.700000000001</v>
      </c>
      <c r="N807" s="2">
        <v>8119.92</v>
      </c>
      <c r="O807" s="2">
        <v>2265.7800000000002</v>
      </c>
      <c r="P807" s="1">
        <f>(Sales_Data[[#This Row],[Profit]]/Sales_Data[[#This Row],[Revenue]])</f>
        <v>0.2181634362633236</v>
      </c>
    </row>
    <row r="808" spans="1:16" x14ac:dyDescent="0.35">
      <c r="A808" t="s">
        <v>430</v>
      </c>
      <c r="B808" s="5" t="s">
        <v>6</v>
      </c>
      <c r="C808" s="5" t="s">
        <v>5</v>
      </c>
      <c r="D808" s="5" t="str">
        <f>"Q"&amp;ROUNDUP(MONTH(B808)/3,0)</f>
        <v>Q3</v>
      </c>
      <c r="E808" t="s">
        <v>4</v>
      </c>
      <c r="F808" t="s">
        <v>56</v>
      </c>
      <c r="G808" t="s">
        <v>85</v>
      </c>
      <c r="H808" t="s">
        <v>111</v>
      </c>
      <c r="I808" t="s">
        <v>49</v>
      </c>
      <c r="J808" s="4">
        <v>5</v>
      </c>
      <c r="K808" s="3">
        <v>8747.5499999999993</v>
      </c>
      <c r="L808">
        <v>5</v>
      </c>
      <c r="M808" s="2">
        <v>41550.86</v>
      </c>
      <c r="N808" s="2">
        <v>28216.48</v>
      </c>
      <c r="O808" s="2">
        <v>13334.38</v>
      </c>
      <c r="P808" s="1">
        <f>(Sales_Data[[#This Row],[Profit]]/Sales_Data[[#This Row],[Revenue]])</f>
        <v>0.32091706405114118</v>
      </c>
    </row>
    <row r="809" spans="1:16" x14ac:dyDescent="0.35">
      <c r="A809" t="s">
        <v>429</v>
      </c>
      <c r="B809" s="5" t="s">
        <v>57</v>
      </c>
      <c r="C809" s="5" t="s">
        <v>5</v>
      </c>
      <c r="D809" s="5" t="str">
        <f>"Q"&amp;ROUNDUP(MONTH(B809)/3,0)</f>
        <v>Q3</v>
      </c>
      <c r="E809" t="s">
        <v>16</v>
      </c>
      <c r="F809" t="s">
        <v>56</v>
      </c>
      <c r="G809" t="s">
        <v>42</v>
      </c>
      <c r="H809" t="s">
        <v>1</v>
      </c>
      <c r="I809" t="s">
        <v>0</v>
      </c>
      <c r="J809" s="4">
        <v>8</v>
      </c>
      <c r="K809" s="3">
        <v>474.13</v>
      </c>
      <c r="L809">
        <v>5</v>
      </c>
      <c r="M809" s="2">
        <v>3603.39</v>
      </c>
      <c r="N809" s="2">
        <v>2886.06</v>
      </c>
      <c r="O809" s="2">
        <v>717.33</v>
      </c>
      <c r="P809" s="1">
        <f>(Sales_Data[[#This Row],[Profit]]/Sales_Data[[#This Row],[Revenue]])</f>
        <v>0.19907087492611125</v>
      </c>
    </row>
    <row r="810" spans="1:16" x14ac:dyDescent="0.35">
      <c r="A810" t="s">
        <v>428</v>
      </c>
      <c r="B810" s="5" t="s">
        <v>12</v>
      </c>
      <c r="C810" s="5" t="s">
        <v>5</v>
      </c>
      <c r="D810" s="5" t="str">
        <f>"Q"&amp;ROUNDUP(MONTH(B810)/3,0)</f>
        <v>Q3</v>
      </c>
      <c r="E810" t="s">
        <v>36</v>
      </c>
      <c r="F810" t="s">
        <v>11</v>
      </c>
      <c r="G810" t="s">
        <v>169</v>
      </c>
      <c r="H810" t="s">
        <v>9</v>
      </c>
      <c r="I810" t="s">
        <v>8</v>
      </c>
      <c r="J810" s="4">
        <v>6</v>
      </c>
      <c r="K810" s="3">
        <v>58072.73</v>
      </c>
      <c r="L810">
        <v>5</v>
      </c>
      <c r="M810" s="2">
        <v>331014.56</v>
      </c>
      <c r="N810" s="2">
        <v>279330.15000000002</v>
      </c>
      <c r="O810" s="2">
        <v>51684.41</v>
      </c>
      <c r="P810" s="1">
        <f>(Sales_Data[[#This Row],[Profit]]/Sales_Data[[#This Row],[Revenue]])</f>
        <v>0.1561393855303525</v>
      </c>
    </row>
    <row r="811" spans="1:16" x14ac:dyDescent="0.35">
      <c r="A811" t="s">
        <v>427</v>
      </c>
      <c r="B811" s="5" t="s">
        <v>426</v>
      </c>
      <c r="C811" s="5" t="s">
        <v>408</v>
      </c>
      <c r="D811" s="5" t="str">
        <f>"Q"&amp;ROUNDUP(MONTH(B811)/3,0)</f>
        <v>Q2</v>
      </c>
      <c r="E811" t="s">
        <v>16</v>
      </c>
      <c r="F811" t="s">
        <v>11</v>
      </c>
      <c r="G811" t="s">
        <v>309</v>
      </c>
      <c r="H811" t="s">
        <v>111</v>
      </c>
      <c r="I811" t="s">
        <v>49</v>
      </c>
      <c r="J811" s="4">
        <v>1</v>
      </c>
      <c r="K811" s="3">
        <v>8052.95</v>
      </c>
      <c r="L811">
        <v>0</v>
      </c>
      <c r="M811" s="2">
        <v>8052.95</v>
      </c>
      <c r="N811" s="2">
        <v>6104.6</v>
      </c>
      <c r="O811" s="2">
        <v>1948.35</v>
      </c>
      <c r="P811" s="1">
        <f>(Sales_Data[[#This Row],[Profit]]/Sales_Data[[#This Row],[Revenue]])</f>
        <v>0.24194239378116095</v>
      </c>
    </row>
    <row r="812" spans="1:16" x14ac:dyDescent="0.35">
      <c r="A812" t="s">
        <v>425</v>
      </c>
      <c r="B812" s="5" t="s">
        <v>424</v>
      </c>
      <c r="C812" s="5" t="s">
        <v>408</v>
      </c>
      <c r="D812" s="5" t="str">
        <f>"Q"&amp;ROUNDUP(MONTH(B812)/3,0)</f>
        <v>Q2</v>
      </c>
      <c r="E812" t="s">
        <v>36</v>
      </c>
      <c r="F812" t="s">
        <v>3</v>
      </c>
      <c r="G812" t="s">
        <v>98</v>
      </c>
      <c r="H812" t="s">
        <v>1</v>
      </c>
      <c r="I812" t="s">
        <v>0</v>
      </c>
      <c r="J812" s="4">
        <v>4</v>
      </c>
      <c r="K812" s="3">
        <v>480.49</v>
      </c>
      <c r="L812">
        <v>0</v>
      </c>
      <c r="M812" s="2">
        <v>1921.96</v>
      </c>
      <c r="N812" s="2">
        <v>1441.18</v>
      </c>
      <c r="O812" s="2">
        <v>480.78</v>
      </c>
      <c r="P812" s="1">
        <f>(Sales_Data[[#This Row],[Profit]]/Sales_Data[[#This Row],[Revenue]])</f>
        <v>0.25015088763553872</v>
      </c>
    </row>
    <row r="813" spans="1:16" x14ac:dyDescent="0.35">
      <c r="A813" t="s">
        <v>423</v>
      </c>
      <c r="B813" s="5" t="s">
        <v>415</v>
      </c>
      <c r="C813" s="5" t="s">
        <v>408</v>
      </c>
      <c r="D813" s="5" t="str">
        <f>"Q"&amp;ROUNDUP(MONTH(B813)/3,0)</f>
        <v>Q2</v>
      </c>
      <c r="E813" t="s">
        <v>23</v>
      </c>
      <c r="F813" t="s">
        <v>3</v>
      </c>
      <c r="G813" t="s">
        <v>71</v>
      </c>
      <c r="H813" t="s">
        <v>1</v>
      </c>
      <c r="I813" t="s">
        <v>0</v>
      </c>
      <c r="J813" s="4">
        <v>3</v>
      </c>
      <c r="K813" s="3">
        <v>508.4</v>
      </c>
      <c r="L813">
        <v>0</v>
      </c>
      <c r="M813" s="2">
        <v>1525.2</v>
      </c>
      <c r="N813" s="2">
        <v>1000.82</v>
      </c>
      <c r="O813" s="2">
        <v>524.38</v>
      </c>
      <c r="P813" s="1">
        <f>(Sales_Data[[#This Row],[Profit]]/Sales_Data[[#This Row],[Revenue]])</f>
        <v>0.34381064778389719</v>
      </c>
    </row>
    <row r="814" spans="1:16" x14ac:dyDescent="0.35">
      <c r="A814" t="s">
        <v>422</v>
      </c>
      <c r="B814" s="5" t="s">
        <v>421</v>
      </c>
      <c r="C814" s="5" t="s">
        <v>408</v>
      </c>
      <c r="D814" s="5" t="str">
        <f>"Q"&amp;ROUNDUP(MONTH(B814)/3,0)</f>
        <v>Q2</v>
      </c>
      <c r="E814" t="s">
        <v>16</v>
      </c>
      <c r="F814" t="s">
        <v>56</v>
      </c>
      <c r="G814" t="s">
        <v>124</v>
      </c>
      <c r="H814" t="s">
        <v>78</v>
      </c>
      <c r="I814" t="s">
        <v>19</v>
      </c>
      <c r="J814" s="4">
        <v>5</v>
      </c>
      <c r="K814" s="3">
        <v>110.45</v>
      </c>
      <c r="L814">
        <v>0</v>
      </c>
      <c r="M814" s="2">
        <v>552.25</v>
      </c>
      <c r="N814" s="2">
        <v>367.61</v>
      </c>
      <c r="O814" s="2">
        <v>184.64</v>
      </c>
      <c r="P814" s="1">
        <f>(Sales_Data[[#This Row],[Profit]]/Sales_Data[[#This Row],[Revenue]])</f>
        <v>0.33434133091896784</v>
      </c>
    </row>
    <row r="815" spans="1:16" x14ac:dyDescent="0.35">
      <c r="A815" t="s">
        <v>420</v>
      </c>
      <c r="B815" s="5" t="s">
        <v>419</v>
      </c>
      <c r="C815" s="5" t="s">
        <v>408</v>
      </c>
      <c r="D815" s="5" t="str">
        <f>"Q"&amp;ROUNDUP(MONTH(B815)/3,0)</f>
        <v>Q2</v>
      </c>
      <c r="E815" t="s">
        <v>23</v>
      </c>
      <c r="F815" t="s">
        <v>22</v>
      </c>
      <c r="G815" t="s">
        <v>238</v>
      </c>
      <c r="H815" t="s">
        <v>14</v>
      </c>
      <c r="I815" t="s">
        <v>8</v>
      </c>
      <c r="J815" s="4">
        <v>8</v>
      </c>
      <c r="K815" s="3">
        <v>2703.25</v>
      </c>
      <c r="L815">
        <v>0</v>
      </c>
      <c r="M815" s="2">
        <v>21626</v>
      </c>
      <c r="N815" s="2">
        <v>15423.82</v>
      </c>
      <c r="O815" s="2">
        <v>6202.18</v>
      </c>
      <c r="P815" s="1">
        <f>(Sales_Data[[#This Row],[Profit]]/Sales_Data[[#This Row],[Revenue]])</f>
        <v>0.28679274946823269</v>
      </c>
    </row>
    <row r="816" spans="1:16" x14ac:dyDescent="0.35">
      <c r="A816" t="s">
        <v>418</v>
      </c>
      <c r="B816" s="5" t="s">
        <v>417</v>
      </c>
      <c r="C816" s="5" t="s">
        <v>408</v>
      </c>
      <c r="D816" s="5" t="str">
        <f>"Q"&amp;ROUNDUP(MONTH(B816)/3,0)</f>
        <v>Q2</v>
      </c>
      <c r="E816" t="s">
        <v>23</v>
      </c>
      <c r="F816" t="s">
        <v>63</v>
      </c>
      <c r="G816" t="s">
        <v>191</v>
      </c>
      <c r="H816" t="s">
        <v>111</v>
      </c>
      <c r="I816" t="s">
        <v>49</v>
      </c>
      <c r="J816" s="4">
        <v>4</v>
      </c>
      <c r="K816" s="3">
        <v>8251.7999999999993</v>
      </c>
      <c r="L816">
        <v>0</v>
      </c>
      <c r="M816" s="2">
        <v>33007.199999999997</v>
      </c>
      <c r="N816" s="2">
        <v>23423.02</v>
      </c>
      <c r="O816" s="2">
        <v>9584.18</v>
      </c>
      <c r="P816" s="1">
        <f>(Sales_Data[[#This Row],[Profit]]/Sales_Data[[#This Row],[Revenue]])</f>
        <v>0.29036634431275604</v>
      </c>
    </row>
    <row r="817" spans="1:16" x14ac:dyDescent="0.35">
      <c r="A817" t="s">
        <v>416</v>
      </c>
      <c r="B817" s="5" t="s">
        <v>415</v>
      </c>
      <c r="C817" s="5" t="s">
        <v>408</v>
      </c>
      <c r="D817" s="5" t="str">
        <f>"Q"&amp;ROUNDUP(MONTH(B817)/3,0)</f>
        <v>Q2</v>
      </c>
      <c r="E817" t="s">
        <v>23</v>
      </c>
      <c r="F817" t="s">
        <v>11</v>
      </c>
      <c r="G817" t="s">
        <v>238</v>
      </c>
      <c r="H817" t="s">
        <v>14</v>
      </c>
      <c r="I817" t="s">
        <v>8</v>
      </c>
      <c r="J817" s="4">
        <v>1</v>
      </c>
      <c r="K817" s="3">
        <v>2540.29</v>
      </c>
      <c r="L817">
        <v>0</v>
      </c>
      <c r="M817" s="2">
        <v>2540.29</v>
      </c>
      <c r="N817" s="2">
        <v>1785.64</v>
      </c>
      <c r="O817" s="2">
        <v>754.65</v>
      </c>
      <c r="P817" s="1">
        <f>(Sales_Data[[#This Row],[Profit]]/Sales_Data[[#This Row],[Revenue]])</f>
        <v>0.29707238149975002</v>
      </c>
    </row>
    <row r="818" spans="1:16" x14ac:dyDescent="0.35">
      <c r="A818" t="s">
        <v>414</v>
      </c>
      <c r="B818" s="5" t="s">
        <v>413</v>
      </c>
      <c r="C818" s="5" t="s">
        <v>408</v>
      </c>
      <c r="D818" s="5" t="str">
        <f>"Q"&amp;ROUNDUP(MONTH(B818)/3,0)</f>
        <v>Q2</v>
      </c>
      <c r="E818" t="s">
        <v>23</v>
      </c>
      <c r="F818" t="s">
        <v>52</v>
      </c>
      <c r="G818" t="s">
        <v>46</v>
      </c>
      <c r="H818" t="s">
        <v>45</v>
      </c>
      <c r="I818" t="s">
        <v>8</v>
      </c>
      <c r="J818" s="4">
        <v>3</v>
      </c>
      <c r="K818" s="3">
        <v>879.81</v>
      </c>
      <c r="L818">
        <v>0</v>
      </c>
      <c r="M818" s="2">
        <v>2639.43</v>
      </c>
      <c r="N818" s="2">
        <v>1706.06</v>
      </c>
      <c r="O818" s="2">
        <v>933.37</v>
      </c>
      <c r="P818" s="1">
        <f>(Sales_Data[[#This Row],[Profit]]/Sales_Data[[#This Row],[Revenue]])</f>
        <v>0.35362559340463662</v>
      </c>
    </row>
    <row r="819" spans="1:16" x14ac:dyDescent="0.35">
      <c r="A819" t="s">
        <v>412</v>
      </c>
      <c r="B819" s="5" t="s">
        <v>411</v>
      </c>
      <c r="C819" s="5" t="s">
        <v>408</v>
      </c>
      <c r="D819" s="5" t="str">
        <f>"Q"&amp;ROUNDUP(MONTH(B819)/3,0)</f>
        <v>Q2</v>
      </c>
      <c r="E819" t="s">
        <v>4</v>
      </c>
      <c r="F819" t="s">
        <v>22</v>
      </c>
      <c r="G819" t="s">
        <v>238</v>
      </c>
      <c r="H819" t="s">
        <v>59</v>
      </c>
      <c r="I819" t="s">
        <v>0</v>
      </c>
      <c r="J819" s="4">
        <v>6</v>
      </c>
      <c r="K819" s="3">
        <v>1396</v>
      </c>
      <c r="L819">
        <v>0</v>
      </c>
      <c r="M819" s="2">
        <v>8376</v>
      </c>
      <c r="N819" s="2">
        <v>5885.29</v>
      </c>
      <c r="O819" s="2">
        <v>2490.71</v>
      </c>
      <c r="P819" s="1">
        <f>(Sales_Data[[#This Row],[Profit]]/Sales_Data[[#This Row],[Revenue]])</f>
        <v>0.2973627029608405</v>
      </c>
    </row>
    <row r="820" spans="1:16" x14ac:dyDescent="0.35">
      <c r="A820" t="s">
        <v>410</v>
      </c>
      <c r="B820" s="5" t="s">
        <v>409</v>
      </c>
      <c r="C820" s="5" t="s">
        <v>408</v>
      </c>
      <c r="D820" s="5" t="str">
        <f>"Q"&amp;ROUNDUP(MONTH(B820)/3,0)</f>
        <v>Q2</v>
      </c>
      <c r="E820" t="s">
        <v>36</v>
      </c>
      <c r="F820" t="s">
        <v>56</v>
      </c>
      <c r="G820" t="s">
        <v>101</v>
      </c>
      <c r="H820" t="s">
        <v>78</v>
      </c>
      <c r="I820" t="s">
        <v>19</v>
      </c>
      <c r="J820" s="4">
        <v>2</v>
      </c>
      <c r="K820" s="3">
        <v>111.41</v>
      </c>
      <c r="L820">
        <v>0</v>
      </c>
      <c r="M820" s="2">
        <v>222.82</v>
      </c>
      <c r="N820" s="2">
        <v>152.59</v>
      </c>
      <c r="O820" s="2">
        <v>70.23</v>
      </c>
      <c r="P820" s="1">
        <f>(Sales_Data[[#This Row],[Profit]]/Sales_Data[[#This Row],[Revenue]])</f>
        <v>0.31518714657571134</v>
      </c>
    </row>
    <row r="821" spans="1:16" x14ac:dyDescent="0.35">
      <c r="A821" t="s">
        <v>407</v>
      </c>
      <c r="B821" s="5" t="s">
        <v>406</v>
      </c>
      <c r="C821" s="5" t="s">
        <v>382</v>
      </c>
      <c r="D821" s="5" t="str">
        <f>"Q"&amp;ROUNDUP(MONTH(B821)/3,0)</f>
        <v>Q3</v>
      </c>
      <c r="E821" t="s">
        <v>4</v>
      </c>
      <c r="F821" t="s">
        <v>11</v>
      </c>
      <c r="G821" t="s">
        <v>112</v>
      </c>
      <c r="H821" t="s">
        <v>1</v>
      </c>
      <c r="I821" t="s">
        <v>0</v>
      </c>
      <c r="J821" s="4">
        <v>2</v>
      </c>
      <c r="K821" s="3">
        <v>538.62</v>
      </c>
      <c r="L821">
        <v>0</v>
      </c>
      <c r="M821" s="2">
        <v>1077.24</v>
      </c>
      <c r="N821" s="2">
        <v>912.75</v>
      </c>
      <c r="O821" s="2">
        <v>164.49</v>
      </c>
      <c r="P821" s="1">
        <f>(Sales_Data[[#This Row],[Profit]]/Sales_Data[[#This Row],[Revenue]])</f>
        <v>0.15269577809958784</v>
      </c>
    </row>
    <row r="822" spans="1:16" x14ac:dyDescent="0.35">
      <c r="A822" t="s">
        <v>405</v>
      </c>
      <c r="B822" s="5" t="s">
        <v>385</v>
      </c>
      <c r="C822" s="5" t="s">
        <v>382</v>
      </c>
      <c r="D822" s="5" t="str">
        <f>"Q"&amp;ROUNDUP(MONTH(B822)/3,0)</f>
        <v>Q3</v>
      </c>
      <c r="E822" t="s">
        <v>4</v>
      </c>
      <c r="F822" t="s">
        <v>63</v>
      </c>
      <c r="G822" t="s">
        <v>71</v>
      </c>
      <c r="H822" t="s">
        <v>14</v>
      </c>
      <c r="I822" t="s">
        <v>8</v>
      </c>
      <c r="J822" s="4">
        <v>3</v>
      </c>
      <c r="K822" s="3">
        <v>2531.4899999999998</v>
      </c>
      <c r="L822">
        <v>0</v>
      </c>
      <c r="M822" s="2">
        <v>7594.47</v>
      </c>
      <c r="N822" s="2">
        <v>5475.27</v>
      </c>
      <c r="O822" s="2">
        <v>2119.1999999999998</v>
      </c>
      <c r="P822" s="1">
        <f>(Sales_Data[[#This Row],[Profit]]/Sales_Data[[#This Row],[Revenue]])</f>
        <v>0.27904514732430302</v>
      </c>
    </row>
    <row r="823" spans="1:16" x14ac:dyDescent="0.35">
      <c r="A823" t="s">
        <v>404</v>
      </c>
      <c r="B823" s="5" t="s">
        <v>403</v>
      </c>
      <c r="C823" s="5" t="s">
        <v>382</v>
      </c>
      <c r="D823" s="5" t="str">
        <f>"Q"&amp;ROUNDUP(MONTH(B823)/3,0)</f>
        <v>Q3</v>
      </c>
      <c r="E823" t="s">
        <v>36</v>
      </c>
      <c r="F823" t="s">
        <v>52</v>
      </c>
      <c r="G823" t="s">
        <v>104</v>
      </c>
      <c r="H823" t="s">
        <v>50</v>
      </c>
      <c r="I823" t="s">
        <v>49</v>
      </c>
      <c r="J823" s="4">
        <v>8</v>
      </c>
      <c r="K823" s="3">
        <v>4125.7</v>
      </c>
      <c r="L823">
        <v>0</v>
      </c>
      <c r="M823" s="2">
        <v>33005.599999999999</v>
      </c>
      <c r="N823" s="2">
        <v>23919.43</v>
      </c>
      <c r="O823" s="2">
        <v>9086.17</v>
      </c>
      <c r="P823" s="1">
        <f>(Sales_Data[[#This Row],[Profit]]/Sales_Data[[#This Row],[Revenue]])</f>
        <v>0.27529176866955912</v>
      </c>
    </row>
    <row r="824" spans="1:16" x14ac:dyDescent="0.35">
      <c r="A824" t="s">
        <v>402</v>
      </c>
      <c r="B824" s="5" t="s">
        <v>401</v>
      </c>
      <c r="C824" s="5" t="s">
        <v>382</v>
      </c>
      <c r="D824" s="5" t="str">
        <f>"Q"&amp;ROUNDUP(MONTH(B824)/3,0)</f>
        <v>Q3</v>
      </c>
      <c r="E824" t="s">
        <v>16</v>
      </c>
      <c r="F824" t="s">
        <v>52</v>
      </c>
      <c r="G824" t="s">
        <v>174</v>
      </c>
      <c r="H824" t="s">
        <v>50</v>
      </c>
      <c r="I824" t="s">
        <v>49</v>
      </c>
      <c r="J824" s="4">
        <v>2</v>
      </c>
      <c r="K824" s="3">
        <v>4686.0200000000004</v>
      </c>
      <c r="L824">
        <v>0</v>
      </c>
      <c r="M824" s="2">
        <v>9372.0400000000009</v>
      </c>
      <c r="N824" s="2">
        <v>7259.63</v>
      </c>
      <c r="O824" s="2">
        <v>2112.41</v>
      </c>
      <c r="P824" s="1">
        <f>(Sales_Data[[#This Row],[Profit]]/Sales_Data[[#This Row],[Revenue]])</f>
        <v>0.22539489801580015</v>
      </c>
    </row>
    <row r="825" spans="1:16" x14ac:dyDescent="0.35">
      <c r="A825" t="s">
        <v>400</v>
      </c>
      <c r="B825" s="5" t="s">
        <v>399</v>
      </c>
      <c r="C825" s="5" t="s">
        <v>382</v>
      </c>
      <c r="D825" s="5" t="str">
        <f>"Q"&amp;ROUNDUP(MONTH(B825)/3,0)</f>
        <v>Q3</v>
      </c>
      <c r="E825" t="s">
        <v>16</v>
      </c>
      <c r="F825" t="s">
        <v>11</v>
      </c>
      <c r="G825" t="s">
        <v>26</v>
      </c>
      <c r="H825" t="s">
        <v>45</v>
      </c>
      <c r="I825" t="s">
        <v>8</v>
      </c>
      <c r="J825" s="4">
        <v>7</v>
      </c>
      <c r="K825" s="3">
        <v>916.27</v>
      </c>
      <c r="L825">
        <v>0</v>
      </c>
      <c r="M825" s="2">
        <v>6413.89</v>
      </c>
      <c r="N825" s="2">
        <v>4420.2</v>
      </c>
      <c r="O825" s="2">
        <v>1993.69</v>
      </c>
      <c r="P825" s="1">
        <f>(Sales_Data[[#This Row],[Profit]]/Sales_Data[[#This Row],[Revenue]])</f>
        <v>0.31083944376969358</v>
      </c>
    </row>
    <row r="826" spans="1:16" x14ac:dyDescent="0.35">
      <c r="A826" t="s">
        <v>398</v>
      </c>
      <c r="B826" s="5" t="s">
        <v>387</v>
      </c>
      <c r="C826" s="5" t="s">
        <v>382</v>
      </c>
      <c r="D826" s="5" t="str">
        <f>"Q"&amp;ROUNDUP(MONTH(B826)/3,0)</f>
        <v>Q3</v>
      </c>
      <c r="E826" t="s">
        <v>4</v>
      </c>
      <c r="F826" t="s">
        <v>56</v>
      </c>
      <c r="G826" t="s">
        <v>95</v>
      </c>
      <c r="H826" t="s">
        <v>1</v>
      </c>
      <c r="I826" t="s">
        <v>0</v>
      </c>
      <c r="J826" s="4">
        <v>2</v>
      </c>
      <c r="K826" s="3">
        <v>542.29999999999995</v>
      </c>
      <c r="L826">
        <v>0</v>
      </c>
      <c r="M826" s="2">
        <v>1084.5999999999999</v>
      </c>
      <c r="N826" s="2">
        <v>764.33</v>
      </c>
      <c r="O826" s="2">
        <v>320.27</v>
      </c>
      <c r="P826" s="1">
        <f>(Sales_Data[[#This Row],[Profit]]/Sales_Data[[#This Row],[Revenue]])</f>
        <v>0.2952885856536972</v>
      </c>
    </row>
    <row r="827" spans="1:16" x14ac:dyDescent="0.35">
      <c r="A827" t="s">
        <v>397</v>
      </c>
      <c r="B827" s="5" t="s">
        <v>396</v>
      </c>
      <c r="C827" s="5" t="s">
        <v>382</v>
      </c>
      <c r="D827" s="5" t="str">
        <f>"Q"&amp;ROUNDUP(MONTH(B827)/3,0)</f>
        <v>Q3</v>
      </c>
      <c r="E827" t="s">
        <v>16</v>
      </c>
      <c r="F827" t="s">
        <v>3</v>
      </c>
      <c r="G827" t="s">
        <v>51</v>
      </c>
      <c r="H827" t="s">
        <v>14</v>
      </c>
      <c r="I827" t="s">
        <v>8</v>
      </c>
      <c r="J827" s="4">
        <v>6</v>
      </c>
      <c r="K827" s="3">
        <v>2485.3000000000002</v>
      </c>
      <c r="L827">
        <v>0</v>
      </c>
      <c r="M827" s="2">
        <v>14911.8</v>
      </c>
      <c r="N827" s="2">
        <v>8943.2800000000007</v>
      </c>
      <c r="O827" s="2">
        <v>5968.52</v>
      </c>
      <c r="P827" s="1">
        <f>(Sales_Data[[#This Row],[Profit]]/Sales_Data[[#This Row],[Revenue]])</f>
        <v>0.40025483174398802</v>
      </c>
    </row>
    <row r="828" spans="1:16" x14ac:dyDescent="0.35">
      <c r="A828" t="s">
        <v>395</v>
      </c>
      <c r="B828" s="5" t="s">
        <v>391</v>
      </c>
      <c r="C828" s="5" t="s">
        <v>382</v>
      </c>
      <c r="D828" s="5" t="str">
        <f>"Q"&amp;ROUNDUP(MONTH(B828)/3,0)</f>
        <v>Q3</v>
      </c>
      <c r="E828" t="s">
        <v>16</v>
      </c>
      <c r="F828" t="s">
        <v>11</v>
      </c>
      <c r="G828" t="s">
        <v>118</v>
      </c>
      <c r="H828" t="s">
        <v>111</v>
      </c>
      <c r="I828" t="s">
        <v>49</v>
      </c>
      <c r="J828" s="4">
        <v>4</v>
      </c>
      <c r="K828" s="3">
        <v>7555.08</v>
      </c>
      <c r="L828">
        <v>0</v>
      </c>
      <c r="M828" s="2">
        <v>30220.32</v>
      </c>
      <c r="N828" s="2">
        <v>24224.33</v>
      </c>
      <c r="O828" s="2">
        <v>5995.99</v>
      </c>
      <c r="P828" s="1">
        <f>(Sales_Data[[#This Row],[Profit]]/Sales_Data[[#This Row],[Revenue]])</f>
        <v>0.19840921605065731</v>
      </c>
    </row>
    <row r="829" spans="1:16" x14ac:dyDescent="0.35">
      <c r="A829" t="s">
        <v>394</v>
      </c>
      <c r="B829" s="5" t="s">
        <v>393</v>
      </c>
      <c r="C829" s="5" t="s">
        <v>382</v>
      </c>
      <c r="D829" s="5" t="str">
        <f>"Q"&amp;ROUNDUP(MONTH(B829)/3,0)</f>
        <v>Q3</v>
      </c>
      <c r="E829" t="s">
        <v>36</v>
      </c>
      <c r="F829" t="s">
        <v>56</v>
      </c>
      <c r="G829" t="s">
        <v>112</v>
      </c>
      <c r="H829" t="s">
        <v>111</v>
      </c>
      <c r="I829" t="s">
        <v>49</v>
      </c>
      <c r="J829" s="4">
        <v>7</v>
      </c>
      <c r="K829" s="3">
        <v>8659.74</v>
      </c>
      <c r="L829">
        <v>0</v>
      </c>
      <c r="M829" s="2">
        <v>60618.18</v>
      </c>
      <c r="N829" s="2">
        <v>39100.199999999997</v>
      </c>
      <c r="O829" s="2">
        <v>21517.98</v>
      </c>
      <c r="P829" s="1">
        <f>(Sales_Data[[#This Row],[Profit]]/Sales_Data[[#This Row],[Revenue]])</f>
        <v>0.35497568551216813</v>
      </c>
    </row>
    <row r="830" spans="1:16" x14ac:dyDescent="0.35">
      <c r="A830" t="s">
        <v>392</v>
      </c>
      <c r="B830" s="5" t="s">
        <v>391</v>
      </c>
      <c r="C830" s="5" t="s">
        <v>382</v>
      </c>
      <c r="D830" s="5" t="str">
        <f>"Q"&amp;ROUNDUP(MONTH(B830)/3,0)</f>
        <v>Q3</v>
      </c>
      <c r="E830" t="s">
        <v>23</v>
      </c>
      <c r="F830" t="s">
        <v>11</v>
      </c>
      <c r="G830" t="s">
        <v>220</v>
      </c>
      <c r="H830" t="s">
        <v>45</v>
      </c>
      <c r="I830" t="s">
        <v>8</v>
      </c>
      <c r="J830" s="4">
        <v>3</v>
      </c>
      <c r="K830" s="3">
        <v>865.5</v>
      </c>
      <c r="L830">
        <v>0</v>
      </c>
      <c r="M830" s="2">
        <v>2596.5</v>
      </c>
      <c r="N830" s="2">
        <v>2100.12</v>
      </c>
      <c r="O830" s="2">
        <v>496.38</v>
      </c>
      <c r="P830" s="1">
        <f>(Sales_Data[[#This Row],[Profit]]/Sales_Data[[#This Row],[Revenue]])</f>
        <v>0.19117273252455227</v>
      </c>
    </row>
    <row r="831" spans="1:16" x14ac:dyDescent="0.35">
      <c r="A831" t="s">
        <v>390</v>
      </c>
      <c r="B831" s="5" t="s">
        <v>389</v>
      </c>
      <c r="C831" s="5" t="s">
        <v>382</v>
      </c>
      <c r="D831" s="5" t="str">
        <f>"Q"&amp;ROUNDUP(MONTH(B831)/3,0)</f>
        <v>Q3</v>
      </c>
      <c r="E831" t="s">
        <v>36</v>
      </c>
      <c r="F831" t="s">
        <v>3</v>
      </c>
      <c r="G831" t="s">
        <v>142</v>
      </c>
      <c r="H831" t="s">
        <v>14</v>
      </c>
      <c r="I831" t="s">
        <v>8</v>
      </c>
      <c r="J831" s="4">
        <v>6</v>
      </c>
      <c r="K831" s="3">
        <v>2367.7600000000002</v>
      </c>
      <c r="L831">
        <v>0</v>
      </c>
      <c r="M831" s="2">
        <v>14206.56</v>
      </c>
      <c r="N831" s="2">
        <v>11383.28</v>
      </c>
      <c r="O831" s="2">
        <v>2823.28</v>
      </c>
      <c r="P831" s="1">
        <f>(Sales_Data[[#This Row],[Profit]]/Sales_Data[[#This Row],[Revenue]])</f>
        <v>0.19873072721334373</v>
      </c>
    </row>
    <row r="832" spans="1:16" x14ac:dyDescent="0.35">
      <c r="A832" t="s">
        <v>388</v>
      </c>
      <c r="B832" s="5" t="s">
        <v>387</v>
      </c>
      <c r="C832" s="5" t="s">
        <v>382</v>
      </c>
      <c r="D832" s="5" t="str">
        <f>"Q"&amp;ROUNDUP(MONTH(B832)/3,0)</f>
        <v>Q3</v>
      </c>
      <c r="E832" t="s">
        <v>4</v>
      </c>
      <c r="F832" t="s">
        <v>11</v>
      </c>
      <c r="G832" t="s">
        <v>95</v>
      </c>
      <c r="H832" t="s">
        <v>14</v>
      </c>
      <c r="I832" t="s">
        <v>8</v>
      </c>
      <c r="J832" s="4">
        <v>8</v>
      </c>
      <c r="K832" s="3">
        <v>2255.4699999999998</v>
      </c>
      <c r="L832">
        <v>0</v>
      </c>
      <c r="M832" s="2">
        <v>18043.759999999998</v>
      </c>
      <c r="N832" s="2">
        <v>13339.68</v>
      </c>
      <c r="O832" s="2">
        <v>4704.08</v>
      </c>
      <c r="P832" s="1">
        <f>(Sales_Data[[#This Row],[Profit]]/Sales_Data[[#This Row],[Revenue]])</f>
        <v>0.26070397744150886</v>
      </c>
    </row>
    <row r="833" spans="1:16" x14ac:dyDescent="0.35">
      <c r="A833" t="s">
        <v>386</v>
      </c>
      <c r="B833" s="5" t="s">
        <v>385</v>
      </c>
      <c r="C833" s="5" t="s">
        <v>382</v>
      </c>
      <c r="D833" s="5" t="str">
        <f>"Q"&amp;ROUNDUP(MONTH(B833)/3,0)</f>
        <v>Q3</v>
      </c>
      <c r="E833" t="s">
        <v>23</v>
      </c>
      <c r="F833" t="s">
        <v>52</v>
      </c>
      <c r="G833" t="s">
        <v>294</v>
      </c>
      <c r="H833" t="s">
        <v>9</v>
      </c>
      <c r="I833" t="s">
        <v>8</v>
      </c>
      <c r="J833" s="4">
        <v>6</v>
      </c>
      <c r="K833" s="3">
        <v>65222.22</v>
      </c>
      <c r="L833">
        <v>0</v>
      </c>
      <c r="M833" s="2">
        <v>391333.32</v>
      </c>
      <c r="N833" s="2">
        <v>325088.53999999998</v>
      </c>
      <c r="O833" s="2">
        <v>66244.78</v>
      </c>
      <c r="P833" s="1">
        <f>(Sales_Data[[#This Row],[Profit]]/Sales_Data[[#This Row],[Revenue]])</f>
        <v>0.16927968208789376</v>
      </c>
    </row>
    <row r="834" spans="1:16" x14ac:dyDescent="0.35">
      <c r="A834" t="s">
        <v>384</v>
      </c>
      <c r="B834" s="5" t="s">
        <v>383</v>
      </c>
      <c r="C834" s="5" t="s">
        <v>382</v>
      </c>
      <c r="D834" s="5" t="str">
        <f>"Q"&amp;ROUNDUP(MONTH(B834)/3,0)</f>
        <v>Q3</v>
      </c>
      <c r="E834" t="s">
        <v>23</v>
      </c>
      <c r="F834" t="s">
        <v>11</v>
      </c>
      <c r="G834" t="s">
        <v>220</v>
      </c>
      <c r="H834" t="s">
        <v>45</v>
      </c>
      <c r="I834" t="s">
        <v>8</v>
      </c>
      <c r="J834" s="4">
        <v>2</v>
      </c>
      <c r="K834" s="3">
        <v>922.37</v>
      </c>
      <c r="L834">
        <v>0</v>
      </c>
      <c r="M834" s="2">
        <v>1844.74</v>
      </c>
      <c r="N834" s="2">
        <v>1318.3</v>
      </c>
      <c r="O834" s="2">
        <v>526.44000000000005</v>
      </c>
      <c r="P834" s="1">
        <f>(Sales_Data[[#This Row],[Profit]]/Sales_Data[[#This Row],[Revenue]])</f>
        <v>0.2853735485759511</v>
      </c>
    </row>
    <row r="835" spans="1:16" x14ac:dyDescent="0.35">
      <c r="A835" t="s">
        <v>381</v>
      </c>
      <c r="B835" s="5" t="s">
        <v>380</v>
      </c>
      <c r="C835" s="5" t="s">
        <v>350</v>
      </c>
      <c r="D835" s="5" t="str">
        <f>"Q"&amp;ROUNDUP(MONTH(B835)/3,0)</f>
        <v>Q4</v>
      </c>
      <c r="E835" t="s">
        <v>16</v>
      </c>
      <c r="F835" t="s">
        <v>52</v>
      </c>
      <c r="G835" t="s">
        <v>39</v>
      </c>
      <c r="H835" t="s">
        <v>34</v>
      </c>
      <c r="I835" t="s">
        <v>8</v>
      </c>
      <c r="J835" s="4">
        <v>5</v>
      </c>
      <c r="K835" s="3">
        <v>24851.51</v>
      </c>
      <c r="L835">
        <v>0</v>
      </c>
      <c r="M835" s="2">
        <v>124257.55</v>
      </c>
      <c r="N835" s="2">
        <v>70207.89</v>
      </c>
      <c r="O835" s="2">
        <v>54049.66</v>
      </c>
      <c r="P835" s="1">
        <f>(Sales_Data[[#This Row],[Profit]]/Sales_Data[[#This Row],[Revenue]])</f>
        <v>0.43498089250914734</v>
      </c>
    </row>
    <row r="836" spans="1:16" x14ac:dyDescent="0.35">
      <c r="A836" t="s">
        <v>379</v>
      </c>
      <c r="B836" s="5" t="s">
        <v>367</v>
      </c>
      <c r="C836" s="5" t="s">
        <v>350</v>
      </c>
      <c r="D836" s="5" t="str">
        <f>"Q"&amp;ROUNDUP(MONTH(B836)/3,0)</f>
        <v>Q4</v>
      </c>
      <c r="E836" t="s">
        <v>36</v>
      </c>
      <c r="F836" t="s">
        <v>52</v>
      </c>
      <c r="G836" t="s">
        <v>15</v>
      </c>
      <c r="H836" t="s">
        <v>1</v>
      </c>
      <c r="I836" t="s">
        <v>0</v>
      </c>
      <c r="J836" s="4">
        <v>2</v>
      </c>
      <c r="K836" s="3">
        <v>496.12</v>
      </c>
      <c r="L836">
        <v>0</v>
      </c>
      <c r="M836" s="2">
        <v>992.24</v>
      </c>
      <c r="N836" s="2">
        <v>703.85</v>
      </c>
      <c r="O836" s="2">
        <v>288.39</v>
      </c>
      <c r="P836" s="1">
        <f>(Sales_Data[[#This Row],[Profit]]/Sales_Data[[#This Row],[Revenue]])</f>
        <v>0.29064540836894298</v>
      </c>
    </row>
    <row r="837" spans="1:16" x14ac:dyDescent="0.35">
      <c r="A837" t="s">
        <v>378</v>
      </c>
      <c r="B837" s="5" t="s">
        <v>377</v>
      </c>
      <c r="C837" s="5" t="s">
        <v>350</v>
      </c>
      <c r="D837" s="5" t="str">
        <f>"Q"&amp;ROUNDUP(MONTH(B837)/3,0)</f>
        <v>Q4</v>
      </c>
      <c r="E837" t="s">
        <v>36</v>
      </c>
      <c r="F837" t="s">
        <v>56</v>
      </c>
      <c r="G837" t="s">
        <v>174</v>
      </c>
      <c r="H837" t="s">
        <v>20</v>
      </c>
      <c r="I837" t="s">
        <v>19</v>
      </c>
      <c r="J837" s="4">
        <v>1</v>
      </c>
      <c r="K837" s="3">
        <v>28.02</v>
      </c>
      <c r="L837">
        <v>0</v>
      </c>
      <c r="M837" s="2">
        <v>28.02</v>
      </c>
      <c r="N837" s="2">
        <v>17.170000000000002</v>
      </c>
      <c r="O837" s="2">
        <v>10.85</v>
      </c>
      <c r="P837" s="1">
        <f>(Sales_Data[[#This Row],[Profit]]/Sales_Data[[#This Row],[Revenue]])</f>
        <v>0.38722341184867953</v>
      </c>
    </row>
    <row r="838" spans="1:16" x14ac:dyDescent="0.35">
      <c r="A838" t="s">
        <v>376</v>
      </c>
      <c r="B838" s="5" t="s">
        <v>353</v>
      </c>
      <c r="C838" s="5" t="s">
        <v>350</v>
      </c>
      <c r="D838" s="5" t="str">
        <f>"Q"&amp;ROUNDUP(MONTH(B838)/3,0)</f>
        <v>Q4</v>
      </c>
      <c r="E838" t="s">
        <v>36</v>
      </c>
      <c r="F838" t="s">
        <v>22</v>
      </c>
      <c r="G838" t="s">
        <v>60</v>
      </c>
      <c r="H838" t="s">
        <v>111</v>
      </c>
      <c r="I838" t="s">
        <v>49</v>
      </c>
      <c r="J838" s="4">
        <v>5</v>
      </c>
      <c r="K838" s="3">
        <v>8549.67</v>
      </c>
      <c r="L838">
        <v>0</v>
      </c>
      <c r="M838" s="2">
        <v>42748.35</v>
      </c>
      <c r="N838" s="2">
        <v>24540.5</v>
      </c>
      <c r="O838" s="2">
        <v>18207.849999999999</v>
      </c>
      <c r="P838" s="1">
        <f>(Sales_Data[[#This Row],[Profit]]/Sales_Data[[#This Row],[Revenue]])</f>
        <v>0.42593105932743602</v>
      </c>
    </row>
    <row r="839" spans="1:16" x14ac:dyDescent="0.35">
      <c r="A839" t="s">
        <v>375</v>
      </c>
      <c r="B839" s="5" t="s">
        <v>363</v>
      </c>
      <c r="C839" s="5" t="s">
        <v>350</v>
      </c>
      <c r="D839" s="5" t="str">
        <f>"Q"&amp;ROUNDUP(MONTH(B839)/3,0)</f>
        <v>Q4</v>
      </c>
      <c r="E839" t="s">
        <v>36</v>
      </c>
      <c r="F839" t="s">
        <v>52</v>
      </c>
      <c r="G839" t="s">
        <v>68</v>
      </c>
      <c r="H839" t="s">
        <v>111</v>
      </c>
      <c r="I839" t="s">
        <v>49</v>
      </c>
      <c r="J839" s="4">
        <v>8</v>
      </c>
      <c r="K839" s="3">
        <v>7740.05</v>
      </c>
      <c r="L839">
        <v>0</v>
      </c>
      <c r="M839" s="2">
        <v>61920.4</v>
      </c>
      <c r="N839" s="2">
        <v>35841.300000000003</v>
      </c>
      <c r="O839" s="2">
        <v>26079.1</v>
      </c>
      <c r="P839" s="1">
        <f>(Sales_Data[[#This Row],[Profit]]/Sales_Data[[#This Row],[Revenue]])</f>
        <v>0.42117137486191947</v>
      </c>
    </row>
    <row r="840" spans="1:16" x14ac:dyDescent="0.35">
      <c r="A840" t="s">
        <v>374</v>
      </c>
      <c r="B840" s="5" t="s">
        <v>363</v>
      </c>
      <c r="C840" s="5" t="s">
        <v>350</v>
      </c>
      <c r="D840" s="5" t="str">
        <f>"Q"&amp;ROUNDUP(MONTH(B840)/3,0)</f>
        <v>Q4</v>
      </c>
      <c r="E840" t="s">
        <v>36</v>
      </c>
      <c r="F840" t="s">
        <v>56</v>
      </c>
      <c r="G840" t="s">
        <v>46</v>
      </c>
      <c r="H840" t="s">
        <v>45</v>
      </c>
      <c r="I840" t="s">
        <v>8</v>
      </c>
      <c r="J840" s="4">
        <v>3</v>
      </c>
      <c r="K840" s="3">
        <v>989.54</v>
      </c>
      <c r="L840">
        <v>0</v>
      </c>
      <c r="M840" s="2">
        <v>2968.62</v>
      </c>
      <c r="N840" s="2">
        <v>2332.84</v>
      </c>
      <c r="O840" s="2">
        <v>635.78</v>
      </c>
      <c r="P840" s="1">
        <f>(Sales_Data[[#This Row],[Profit]]/Sales_Data[[#This Row],[Revenue]])</f>
        <v>0.2141668519379375</v>
      </c>
    </row>
    <row r="841" spans="1:16" x14ac:dyDescent="0.35">
      <c r="A841" t="s">
        <v>373</v>
      </c>
      <c r="B841" s="5" t="s">
        <v>372</v>
      </c>
      <c r="C841" s="5" t="s">
        <v>350</v>
      </c>
      <c r="D841" s="5" t="str">
        <f>"Q"&amp;ROUNDUP(MONTH(B841)/3,0)</f>
        <v>Q4</v>
      </c>
      <c r="E841" t="s">
        <v>16</v>
      </c>
      <c r="F841" t="s">
        <v>3</v>
      </c>
      <c r="G841" t="s">
        <v>159</v>
      </c>
      <c r="H841" t="s">
        <v>45</v>
      </c>
      <c r="I841" t="s">
        <v>8</v>
      </c>
      <c r="J841" s="4">
        <v>1</v>
      </c>
      <c r="K841" s="3">
        <v>939.15</v>
      </c>
      <c r="L841">
        <v>0</v>
      </c>
      <c r="M841" s="2">
        <v>939.15</v>
      </c>
      <c r="N841" s="2">
        <v>666.71</v>
      </c>
      <c r="O841" s="2">
        <v>272.44</v>
      </c>
      <c r="P841" s="1">
        <f>(Sales_Data[[#This Row],[Profit]]/Sales_Data[[#This Row],[Revenue]])</f>
        <v>0.29009210456263645</v>
      </c>
    </row>
    <row r="842" spans="1:16" x14ac:dyDescent="0.35">
      <c r="A842" t="s">
        <v>371</v>
      </c>
      <c r="B842" s="5" t="s">
        <v>370</v>
      </c>
      <c r="C842" s="5" t="s">
        <v>350</v>
      </c>
      <c r="D842" s="5" t="str">
        <f>"Q"&amp;ROUNDUP(MONTH(B842)/3,0)</f>
        <v>Q4</v>
      </c>
      <c r="E842" t="s">
        <v>36</v>
      </c>
      <c r="F842" t="s">
        <v>63</v>
      </c>
      <c r="G842" t="s">
        <v>369</v>
      </c>
      <c r="H842" t="s">
        <v>111</v>
      </c>
      <c r="I842" t="s">
        <v>49</v>
      </c>
      <c r="J842" s="4">
        <v>3</v>
      </c>
      <c r="K842" s="3">
        <v>8102.35</v>
      </c>
      <c r="L842">
        <v>0</v>
      </c>
      <c r="M842" s="2">
        <v>24307.05</v>
      </c>
      <c r="N842" s="2">
        <v>18499.27</v>
      </c>
      <c r="O842" s="2">
        <v>5807.78</v>
      </c>
      <c r="P842" s="1">
        <f>(Sales_Data[[#This Row],[Profit]]/Sales_Data[[#This Row],[Revenue]])</f>
        <v>0.2389339718312177</v>
      </c>
    </row>
    <row r="843" spans="1:16" x14ac:dyDescent="0.35">
      <c r="A843" t="s">
        <v>368</v>
      </c>
      <c r="B843" s="5" t="s">
        <v>367</v>
      </c>
      <c r="C843" s="5" t="s">
        <v>350</v>
      </c>
      <c r="D843" s="5" t="str">
        <f>"Q"&amp;ROUNDUP(MONTH(B843)/3,0)</f>
        <v>Q4</v>
      </c>
      <c r="E843" t="s">
        <v>36</v>
      </c>
      <c r="F843" t="s">
        <v>22</v>
      </c>
      <c r="G843" t="s">
        <v>128</v>
      </c>
      <c r="H843" t="s">
        <v>1</v>
      </c>
      <c r="I843" t="s">
        <v>0</v>
      </c>
      <c r="J843" s="4">
        <v>6</v>
      </c>
      <c r="K843" s="3">
        <v>484.28</v>
      </c>
      <c r="L843">
        <v>0</v>
      </c>
      <c r="M843" s="2">
        <v>2905.68</v>
      </c>
      <c r="N843" s="2">
        <v>1808.27</v>
      </c>
      <c r="O843" s="2">
        <v>1097.4100000000001</v>
      </c>
      <c r="P843" s="1">
        <f>(Sales_Data[[#This Row],[Profit]]/Sales_Data[[#This Row],[Revenue]])</f>
        <v>0.3776775143856172</v>
      </c>
    </row>
    <row r="844" spans="1:16" x14ac:dyDescent="0.35">
      <c r="A844" t="s">
        <v>366</v>
      </c>
      <c r="B844" s="5" t="s">
        <v>365</v>
      </c>
      <c r="C844" s="5" t="s">
        <v>350</v>
      </c>
      <c r="D844" s="5" t="str">
        <f>"Q"&amp;ROUNDUP(MONTH(B844)/3,0)</f>
        <v>Q4</v>
      </c>
      <c r="E844" t="s">
        <v>23</v>
      </c>
      <c r="F844" t="s">
        <v>22</v>
      </c>
      <c r="G844" t="s">
        <v>238</v>
      </c>
      <c r="H844" t="s">
        <v>14</v>
      </c>
      <c r="I844" t="s">
        <v>8</v>
      </c>
      <c r="J844" s="4">
        <v>3</v>
      </c>
      <c r="K844" s="3">
        <v>2712.08</v>
      </c>
      <c r="L844">
        <v>0</v>
      </c>
      <c r="M844" s="2">
        <v>8136.24</v>
      </c>
      <c r="N844" s="2">
        <v>4847.18</v>
      </c>
      <c r="O844" s="2">
        <v>3289.06</v>
      </c>
      <c r="P844" s="1">
        <f>(Sales_Data[[#This Row],[Profit]]/Sales_Data[[#This Row],[Revenue]])</f>
        <v>0.40424815393842856</v>
      </c>
    </row>
    <row r="845" spans="1:16" x14ac:dyDescent="0.35">
      <c r="A845" t="s">
        <v>364</v>
      </c>
      <c r="B845" s="5" t="s">
        <v>363</v>
      </c>
      <c r="C845" s="5" t="s">
        <v>350</v>
      </c>
      <c r="D845" s="5" t="str">
        <f>"Q"&amp;ROUNDUP(MONTH(B845)/3,0)</f>
        <v>Q4</v>
      </c>
      <c r="E845" t="s">
        <v>23</v>
      </c>
      <c r="F845" t="s">
        <v>52</v>
      </c>
      <c r="G845" t="s">
        <v>31</v>
      </c>
      <c r="H845" t="s">
        <v>9</v>
      </c>
      <c r="I845" t="s">
        <v>8</v>
      </c>
      <c r="J845" s="4">
        <v>7</v>
      </c>
      <c r="K845" s="3">
        <v>56679.51</v>
      </c>
      <c r="L845">
        <v>0</v>
      </c>
      <c r="M845" s="2">
        <v>396756.57</v>
      </c>
      <c r="N845" s="2">
        <v>328241.03999999998</v>
      </c>
      <c r="O845" s="2">
        <v>68515.53</v>
      </c>
      <c r="P845" s="1">
        <f>(Sales_Data[[#This Row],[Profit]]/Sales_Data[[#This Row],[Revenue]])</f>
        <v>0.17268908741700231</v>
      </c>
    </row>
    <row r="846" spans="1:16" x14ac:dyDescent="0.35">
      <c r="A846" t="s">
        <v>362</v>
      </c>
      <c r="B846" s="5" t="s">
        <v>361</v>
      </c>
      <c r="C846" s="5" t="s">
        <v>350</v>
      </c>
      <c r="D846" s="5" t="str">
        <f>"Q"&amp;ROUNDUP(MONTH(B846)/3,0)</f>
        <v>Q4</v>
      </c>
      <c r="E846" t="s">
        <v>16</v>
      </c>
      <c r="F846" t="s">
        <v>11</v>
      </c>
      <c r="G846" t="s">
        <v>95</v>
      </c>
      <c r="H846" t="s">
        <v>20</v>
      </c>
      <c r="I846" t="s">
        <v>19</v>
      </c>
      <c r="J846" s="4">
        <v>7</v>
      </c>
      <c r="K846" s="3">
        <v>32.69</v>
      </c>
      <c r="L846">
        <v>0</v>
      </c>
      <c r="M846" s="2">
        <v>228.83</v>
      </c>
      <c r="N846" s="2">
        <v>172.05</v>
      </c>
      <c r="O846" s="2">
        <v>56.78</v>
      </c>
      <c r="P846" s="1">
        <f>(Sales_Data[[#This Row],[Profit]]/Sales_Data[[#This Row],[Revenue]])</f>
        <v>0.2481318009002316</v>
      </c>
    </row>
    <row r="847" spans="1:16" x14ac:dyDescent="0.35">
      <c r="A847" t="s">
        <v>360</v>
      </c>
      <c r="B847" s="5" t="s">
        <v>359</v>
      </c>
      <c r="C847" s="5" t="s">
        <v>350</v>
      </c>
      <c r="D847" s="5" t="str">
        <f>"Q"&amp;ROUNDUP(MONTH(B847)/3,0)</f>
        <v>Q4</v>
      </c>
      <c r="E847" t="s">
        <v>23</v>
      </c>
      <c r="F847" t="s">
        <v>52</v>
      </c>
      <c r="G847" t="s">
        <v>55</v>
      </c>
      <c r="H847" t="s">
        <v>14</v>
      </c>
      <c r="I847" t="s">
        <v>8</v>
      </c>
      <c r="J847" s="4">
        <v>4</v>
      </c>
      <c r="K847" s="3">
        <v>2695.77</v>
      </c>
      <c r="L847">
        <v>0</v>
      </c>
      <c r="M847" s="2">
        <v>10783.08</v>
      </c>
      <c r="N847" s="2">
        <v>6919.85</v>
      </c>
      <c r="O847" s="2">
        <v>3863.23</v>
      </c>
      <c r="P847" s="1">
        <f>(Sales_Data[[#This Row],[Profit]]/Sales_Data[[#This Row],[Revenue]])</f>
        <v>0.35826776765080109</v>
      </c>
    </row>
    <row r="848" spans="1:16" x14ac:dyDescent="0.35">
      <c r="A848" t="s">
        <v>358</v>
      </c>
      <c r="B848" s="5" t="s">
        <v>357</v>
      </c>
      <c r="C848" s="5" t="s">
        <v>350</v>
      </c>
      <c r="D848" s="5" t="str">
        <f>"Q"&amp;ROUNDUP(MONTH(B848)/3,0)</f>
        <v>Q4</v>
      </c>
      <c r="E848" t="s">
        <v>4</v>
      </c>
      <c r="F848" t="s">
        <v>52</v>
      </c>
      <c r="G848" t="s">
        <v>68</v>
      </c>
      <c r="H848" t="s">
        <v>14</v>
      </c>
      <c r="I848" t="s">
        <v>8</v>
      </c>
      <c r="J848" s="4">
        <v>5</v>
      </c>
      <c r="K848" s="3">
        <v>2630.53</v>
      </c>
      <c r="L848">
        <v>0</v>
      </c>
      <c r="M848" s="2">
        <v>13152.65</v>
      </c>
      <c r="N848" s="2">
        <v>8265.02</v>
      </c>
      <c r="O848" s="2">
        <v>4887.63</v>
      </c>
      <c r="P848" s="1">
        <f>(Sales_Data[[#This Row],[Profit]]/Sales_Data[[#This Row],[Revenue]])</f>
        <v>0.37160800294997587</v>
      </c>
    </row>
    <row r="849" spans="1:16" x14ac:dyDescent="0.35">
      <c r="A849" t="s">
        <v>356</v>
      </c>
      <c r="B849" s="5" t="s">
        <v>355</v>
      </c>
      <c r="C849" s="5" t="s">
        <v>350</v>
      </c>
      <c r="D849" s="5" t="str">
        <f>"Q"&amp;ROUNDUP(MONTH(B849)/3,0)</f>
        <v>Q4</v>
      </c>
      <c r="E849" t="s">
        <v>23</v>
      </c>
      <c r="F849" t="s">
        <v>22</v>
      </c>
      <c r="G849" t="s">
        <v>142</v>
      </c>
      <c r="H849" t="s">
        <v>45</v>
      </c>
      <c r="I849" t="s">
        <v>8</v>
      </c>
      <c r="J849" s="4">
        <v>3</v>
      </c>
      <c r="K849" s="3">
        <v>846.1</v>
      </c>
      <c r="L849">
        <v>0</v>
      </c>
      <c r="M849" s="2">
        <v>2538.3000000000002</v>
      </c>
      <c r="N849" s="2">
        <v>1749.21</v>
      </c>
      <c r="O849" s="2">
        <v>789.09</v>
      </c>
      <c r="P849" s="1">
        <f>(Sales_Data[[#This Row],[Profit]]/Sales_Data[[#This Row],[Revenue]])</f>
        <v>0.31087341921758654</v>
      </c>
    </row>
    <row r="850" spans="1:16" x14ac:dyDescent="0.35">
      <c r="A850" t="s">
        <v>354</v>
      </c>
      <c r="B850" s="5" t="s">
        <v>353</v>
      </c>
      <c r="C850" s="5" t="s">
        <v>350</v>
      </c>
      <c r="D850" s="5" t="str">
        <f>"Q"&amp;ROUNDUP(MONTH(B850)/3,0)</f>
        <v>Q4</v>
      </c>
      <c r="E850" t="s">
        <v>23</v>
      </c>
      <c r="F850" t="s">
        <v>3</v>
      </c>
      <c r="G850" t="s">
        <v>71</v>
      </c>
      <c r="H850" t="s">
        <v>20</v>
      </c>
      <c r="I850" t="s">
        <v>19</v>
      </c>
      <c r="J850" s="4">
        <v>5</v>
      </c>
      <c r="K850" s="3">
        <v>32.840000000000003</v>
      </c>
      <c r="L850">
        <v>0</v>
      </c>
      <c r="M850" s="2">
        <v>164.2</v>
      </c>
      <c r="N850" s="2">
        <v>124.03</v>
      </c>
      <c r="O850" s="2">
        <v>40.17</v>
      </c>
      <c r="P850" s="1">
        <f>(Sales_Data[[#This Row],[Profit]]/Sales_Data[[#This Row],[Revenue]])</f>
        <v>0.24464068209500611</v>
      </c>
    </row>
    <row r="851" spans="1:16" x14ac:dyDescent="0.35">
      <c r="A851" t="s">
        <v>352</v>
      </c>
      <c r="B851" s="5" t="s">
        <v>351</v>
      </c>
      <c r="C851" s="5" t="s">
        <v>350</v>
      </c>
      <c r="D851" s="5" t="str">
        <f>"Q"&amp;ROUNDUP(MONTH(B851)/3,0)</f>
        <v>Q4</v>
      </c>
      <c r="E851" t="s">
        <v>23</v>
      </c>
      <c r="F851" t="s">
        <v>22</v>
      </c>
      <c r="G851" t="s">
        <v>231</v>
      </c>
      <c r="H851" t="s">
        <v>111</v>
      </c>
      <c r="I851" t="s">
        <v>49</v>
      </c>
      <c r="J851" s="4">
        <v>1</v>
      </c>
      <c r="K851" s="3">
        <v>8447.7099999999991</v>
      </c>
      <c r="L851">
        <v>0</v>
      </c>
      <c r="M851" s="2">
        <v>8447.7099999999991</v>
      </c>
      <c r="N851" s="2">
        <v>6095.73</v>
      </c>
      <c r="O851" s="2">
        <v>2351.98</v>
      </c>
      <c r="P851" s="1">
        <f>(Sales_Data[[#This Row],[Profit]]/Sales_Data[[#This Row],[Revenue]])</f>
        <v>0.27841628086191411</v>
      </c>
    </row>
    <row r="852" spans="1:16" x14ac:dyDescent="0.35">
      <c r="A852" t="s">
        <v>349</v>
      </c>
      <c r="B852" s="5" t="s">
        <v>348</v>
      </c>
      <c r="C852" s="5" t="s">
        <v>310</v>
      </c>
      <c r="D852" s="5" t="str">
        <f>"Q"&amp;ROUNDUP(MONTH(B852)/3,0)</f>
        <v>Q1</v>
      </c>
      <c r="E852" t="s">
        <v>23</v>
      </c>
      <c r="F852" t="s">
        <v>11</v>
      </c>
      <c r="G852" t="s">
        <v>21</v>
      </c>
      <c r="H852" t="s">
        <v>111</v>
      </c>
      <c r="I852" t="s">
        <v>49</v>
      </c>
      <c r="J852" s="4">
        <v>1</v>
      </c>
      <c r="K852" s="3">
        <v>7980.44</v>
      </c>
      <c r="L852">
        <v>0</v>
      </c>
      <c r="M852" s="2">
        <v>7980.44</v>
      </c>
      <c r="N852" s="2">
        <v>4863.13</v>
      </c>
      <c r="O852" s="2">
        <v>3117.31</v>
      </c>
      <c r="P852" s="1">
        <f>(Sales_Data[[#This Row],[Profit]]/Sales_Data[[#This Row],[Revenue]])</f>
        <v>0.39061881299777956</v>
      </c>
    </row>
    <row r="853" spans="1:16" x14ac:dyDescent="0.35">
      <c r="A853" t="s">
        <v>347</v>
      </c>
      <c r="B853" s="5" t="s">
        <v>317</v>
      </c>
      <c r="C853" s="5" t="s">
        <v>310</v>
      </c>
      <c r="D853" s="5" t="str">
        <f>"Q"&amp;ROUNDUP(MONTH(B853)/3,0)</f>
        <v>Q1</v>
      </c>
      <c r="E853" t="s">
        <v>36</v>
      </c>
      <c r="F853" t="s">
        <v>22</v>
      </c>
      <c r="G853" t="s">
        <v>214</v>
      </c>
      <c r="H853" t="s">
        <v>20</v>
      </c>
      <c r="I853" t="s">
        <v>19</v>
      </c>
      <c r="J853" s="4">
        <v>3</v>
      </c>
      <c r="K853" s="3">
        <v>29.22</v>
      </c>
      <c r="L853">
        <v>0</v>
      </c>
      <c r="M853" s="2">
        <v>87.66</v>
      </c>
      <c r="N853" s="2">
        <v>65.64</v>
      </c>
      <c r="O853" s="2">
        <v>22.02</v>
      </c>
      <c r="P853" s="1">
        <f>(Sales_Data[[#This Row],[Profit]]/Sales_Data[[#This Row],[Revenue]])</f>
        <v>0.25119780971937028</v>
      </c>
    </row>
    <row r="854" spans="1:16" x14ac:dyDescent="0.35">
      <c r="A854" t="s">
        <v>346</v>
      </c>
      <c r="B854" s="5" t="s">
        <v>315</v>
      </c>
      <c r="C854" s="5" t="s">
        <v>310</v>
      </c>
      <c r="D854" s="5" t="str">
        <f>"Q"&amp;ROUNDUP(MONTH(B854)/3,0)</f>
        <v>Q1</v>
      </c>
      <c r="E854" t="s">
        <v>16</v>
      </c>
      <c r="F854" t="s">
        <v>63</v>
      </c>
      <c r="G854" t="s">
        <v>66</v>
      </c>
      <c r="H854" t="s">
        <v>14</v>
      </c>
      <c r="I854" t="s">
        <v>8</v>
      </c>
      <c r="J854" s="4">
        <v>3</v>
      </c>
      <c r="K854" s="3">
        <v>2619.11</v>
      </c>
      <c r="L854">
        <v>0</v>
      </c>
      <c r="M854" s="2">
        <v>7857.33</v>
      </c>
      <c r="N854" s="2">
        <v>5467.79</v>
      </c>
      <c r="O854" s="2">
        <v>2389.54</v>
      </c>
      <c r="P854" s="1">
        <f>(Sales_Data[[#This Row],[Profit]]/Sales_Data[[#This Row],[Revenue]])</f>
        <v>0.30411602923639453</v>
      </c>
    </row>
    <row r="855" spans="1:16" x14ac:dyDescent="0.35">
      <c r="A855" t="s">
        <v>345</v>
      </c>
      <c r="B855" s="5" t="s">
        <v>315</v>
      </c>
      <c r="C855" s="5" t="s">
        <v>310</v>
      </c>
      <c r="D855" s="5" t="str">
        <f>"Q"&amp;ROUNDUP(MONTH(B855)/3,0)</f>
        <v>Q1</v>
      </c>
      <c r="E855" t="s">
        <v>16</v>
      </c>
      <c r="F855" t="s">
        <v>52</v>
      </c>
      <c r="G855" t="s">
        <v>92</v>
      </c>
      <c r="H855" t="s">
        <v>59</v>
      </c>
      <c r="I855" t="s">
        <v>0</v>
      </c>
      <c r="J855" s="4">
        <v>8</v>
      </c>
      <c r="K855" s="3">
        <v>1435.06</v>
      </c>
      <c r="L855">
        <v>0</v>
      </c>
      <c r="M855" s="2">
        <v>11480.48</v>
      </c>
      <c r="N855" s="2">
        <v>8812.1</v>
      </c>
      <c r="O855" s="2">
        <v>2668.38</v>
      </c>
      <c r="P855" s="1">
        <f>(Sales_Data[[#This Row],[Profit]]/Sales_Data[[#This Row],[Revenue]])</f>
        <v>0.23242756400429251</v>
      </c>
    </row>
    <row r="856" spans="1:16" x14ac:dyDescent="0.35">
      <c r="A856" t="s">
        <v>344</v>
      </c>
      <c r="B856" s="5" t="s">
        <v>335</v>
      </c>
      <c r="C856" s="5" t="s">
        <v>310</v>
      </c>
      <c r="D856" s="5" t="str">
        <f>"Q"&amp;ROUNDUP(MONTH(B856)/3,0)</f>
        <v>Q1</v>
      </c>
      <c r="E856" t="s">
        <v>4</v>
      </c>
      <c r="F856" t="s">
        <v>22</v>
      </c>
      <c r="G856" t="s">
        <v>42</v>
      </c>
      <c r="H856" t="s">
        <v>111</v>
      </c>
      <c r="I856" t="s">
        <v>49</v>
      </c>
      <c r="J856" s="4">
        <v>2</v>
      </c>
      <c r="K856" s="3">
        <v>8132.55</v>
      </c>
      <c r="L856">
        <v>0</v>
      </c>
      <c r="M856" s="2">
        <v>16265.1</v>
      </c>
      <c r="N856" s="2">
        <v>9134.64</v>
      </c>
      <c r="O856" s="2">
        <v>7130.46</v>
      </c>
      <c r="P856" s="1">
        <f>(Sales_Data[[#This Row],[Profit]]/Sales_Data[[#This Row],[Revenue]])</f>
        <v>0.43839017282402198</v>
      </c>
    </row>
    <row r="857" spans="1:16" x14ac:dyDescent="0.35">
      <c r="A857" t="s">
        <v>343</v>
      </c>
      <c r="B857" s="5" t="s">
        <v>327</v>
      </c>
      <c r="C857" s="5" t="s">
        <v>310</v>
      </c>
      <c r="D857" s="5" t="str">
        <f>"Q"&amp;ROUNDUP(MONTH(B857)/3,0)</f>
        <v>Q1</v>
      </c>
      <c r="E857" t="s">
        <v>16</v>
      </c>
      <c r="F857" t="s">
        <v>22</v>
      </c>
      <c r="G857" t="s">
        <v>92</v>
      </c>
      <c r="H857" t="s">
        <v>20</v>
      </c>
      <c r="I857" t="s">
        <v>19</v>
      </c>
      <c r="J857" s="4">
        <v>6</v>
      </c>
      <c r="K857" s="3">
        <v>31.4</v>
      </c>
      <c r="L857">
        <v>0</v>
      </c>
      <c r="M857" s="2">
        <v>188.4</v>
      </c>
      <c r="N857" s="2">
        <v>111.3</v>
      </c>
      <c r="O857" s="2">
        <v>77.099999999999994</v>
      </c>
      <c r="P857" s="1">
        <f>(Sales_Data[[#This Row],[Profit]]/Sales_Data[[#This Row],[Revenue]])</f>
        <v>0.40923566878980888</v>
      </c>
    </row>
    <row r="858" spans="1:16" x14ac:dyDescent="0.35">
      <c r="A858" t="s">
        <v>342</v>
      </c>
      <c r="B858" s="5" t="s">
        <v>322</v>
      </c>
      <c r="C858" s="5" t="s">
        <v>310</v>
      </c>
      <c r="D858" s="5" t="str">
        <f>"Q"&amp;ROUNDUP(MONTH(B858)/3,0)</f>
        <v>Q1</v>
      </c>
      <c r="E858" t="s">
        <v>16</v>
      </c>
      <c r="F858" t="s">
        <v>11</v>
      </c>
      <c r="G858" t="s">
        <v>35</v>
      </c>
      <c r="H858" t="s">
        <v>34</v>
      </c>
      <c r="I858" t="s">
        <v>8</v>
      </c>
      <c r="J858" s="4">
        <v>4</v>
      </c>
      <c r="K858" s="3">
        <v>25286.89</v>
      </c>
      <c r="L858">
        <v>0</v>
      </c>
      <c r="M858" s="2">
        <v>101147.56</v>
      </c>
      <c r="N858" s="2">
        <v>71290.570000000007</v>
      </c>
      <c r="O858" s="2">
        <v>29856.99</v>
      </c>
      <c r="P858" s="1">
        <f>(Sales_Data[[#This Row],[Profit]]/Sales_Data[[#This Row],[Revenue]])</f>
        <v>0.29518250366098797</v>
      </c>
    </row>
    <row r="859" spans="1:16" x14ac:dyDescent="0.35">
      <c r="A859" t="s">
        <v>341</v>
      </c>
      <c r="B859" s="5" t="s">
        <v>340</v>
      </c>
      <c r="C859" s="5" t="s">
        <v>310</v>
      </c>
      <c r="D859" s="5" t="str">
        <f>"Q"&amp;ROUNDUP(MONTH(B859)/3,0)</f>
        <v>Q1</v>
      </c>
      <c r="E859" t="s">
        <v>36</v>
      </c>
      <c r="F859" t="s">
        <v>63</v>
      </c>
      <c r="G859" t="s">
        <v>191</v>
      </c>
      <c r="H859" t="s">
        <v>50</v>
      </c>
      <c r="I859" t="s">
        <v>49</v>
      </c>
      <c r="J859" s="4">
        <v>6</v>
      </c>
      <c r="K859" s="3">
        <v>4115.79</v>
      </c>
      <c r="L859">
        <v>0</v>
      </c>
      <c r="M859" s="2">
        <v>24694.74</v>
      </c>
      <c r="N859" s="2">
        <v>17971.560000000001</v>
      </c>
      <c r="O859" s="2">
        <v>6723.18</v>
      </c>
      <c r="P859" s="1">
        <f>(Sales_Data[[#This Row],[Profit]]/Sales_Data[[#This Row],[Revenue]])</f>
        <v>0.27225149971208445</v>
      </c>
    </row>
    <row r="860" spans="1:16" x14ac:dyDescent="0.35">
      <c r="A860" t="s">
        <v>339</v>
      </c>
      <c r="B860" s="5" t="s">
        <v>338</v>
      </c>
      <c r="C860" s="5" t="s">
        <v>310</v>
      </c>
      <c r="D860" s="5" t="str">
        <f>"Q"&amp;ROUNDUP(MONTH(B860)/3,0)</f>
        <v>Q1</v>
      </c>
      <c r="E860" t="s">
        <v>16</v>
      </c>
      <c r="F860" t="s">
        <v>56</v>
      </c>
      <c r="G860" t="s">
        <v>92</v>
      </c>
      <c r="H860" t="s">
        <v>1</v>
      </c>
      <c r="I860" t="s">
        <v>0</v>
      </c>
      <c r="J860" s="4">
        <v>4</v>
      </c>
      <c r="K860" s="3">
        <v>525.63</v>
      </c>
      <c r="L860">
        <v>0</v>
      </c>
      <c r="M860" s="2">
        <v>2102.52</v>
      </c>
      <c r="N860" s="2">
        <v>1737.11</v>
      </c>
      <c r="O860" s="2">
        <v>365.41</v>
      </c>
      <c r="P860" s="1">
        <f>(Sales_Data[[#This Row],[Profit]]/Sales_Data[[#This Row],[Revenue]])</f>
        <v>0.17379620645701349</v>
      </c>
    </row>
    <row r="861" spans="1:16" x14ac:dyDescent="0.35">
      <c r="A861" t="s">
        <v>337</v>
      </c>
      <c r="B861" s="5" t="s">
        <v>327</v>
      </c>
      <c r="C861" s="5" t="s">
        <v>310</v>
      </c>
      <c r="D861" s="5" t="str">
        <f>"Q"&amp;ROUNDUP(MONTH(B861)/3,0)</f>
        <v>Q1</v>
      </c>
      <c r="E861" t="s">
        <v>16</v>
      </c>
      <c r="F861" t="s">
        <v>56</v>
      </c>
      <c r="G861" t="s">
        <v>238</v>
      </c>
      <c r="H861" t="s">
        <v>20</v>
      </c>
      <c r="I861" t="s">
        <v>19</v>
      </c>
      <c r="J861" s="4">
        <v>6</v>
      </c>
      <c r="K861" s="3">
        <v>28.24</v>
      </c>
      <c r="L861">
        <v>0</v>
      </c>
      <c r="M861" s="2">
        <v>169.44</v>
      </c>
      <c r="N861" s="2">
        <v>134.05000000000001</v>
      </c>
      <c r="O861" s="2">
        <v>35.39</v>
      </c>
      <c r="P861" s="1">
        <f>(Sales_Data[[#This Row],[Profit]]/Sales_Data[[#This Row],[Revenue]])</f>
        <v>0.20886449480642116</v>
      </c>
    </row>
    <row r="862" spans="1:16" x14ac:dyDescent="0.35">
      <c r="A862" t="s">
        <v>336</v>
      </c>
      <c r="B862" s="5" t="s">
        <v>335</v>
      </c>
      <c r="C862" s="5" t="s">
        <v>310</v>
      </c>
      <c r="D862" s="5" t="str">
        <f>"Q"&amp;ROUNDUP(MONTH(B862)/3,0)</f>
        <v>Q1</v>
      </c>
      <c r="E862" t="s">
        <v>4</v>
      </c>
      <c r="F862" t="s">
        <v>11</v>
      </c>
      <c r="G862" t="s">
        <v>71</v>
      </c>
      <c r="H862" t="s">
        <v>59</v>
      </c>
      <c r="I862" t="s">
        <v>0</v>
      </c>
      <c r="J862" s="4">
        <v>2</v>
      </c>
      <c r="K862" s="3">
        <v>1367.25</v>
      </c>
      <c r="L862">
        <v>0</v>
      </c>
      <c r="M862" s="2">
        <v>2734.5</v>
      </c>
      <c r="N862" s="2">
        <v>2071.41</v>
      </c>
      <c r="O862" s="2">
        <v>663.09</v>
      </c>
      <c r="P862" s="1">
        <f>(Sales_Data[[#This Row],[Profit]]/Sales_Data[[#This Row],[Revenue]])</f>
        <v>0.2424904004388371</v>
      </c>
    </row>
    <row r="863" spans="1:16" x14ac:dyDescent="0.35">
      <c r="A863" t="s">
        <v>334</v>
      </c>
      <c r="B863" s="5" t="s">
        <v>317</v>
      </c>
      <c r="C863" s="5" t="s">
        <v>310</v>
      </c>
      <c r="D863" s="5" t="str">
        <f>"Q"&amp;ROUNDUP(MONTH(B863)/3,0)</f>
        <v>Q1</v>
      </c>
      <c r="E863" t="s">
        <v>16</v>
      </c>
      <c r="F863" t="s">
        <v>56</v>
      </c>
      <c r="G863" t="s">
        <v>60</v>
      </c>
      <c r="H863" t="s">
        <v>14</v>
      </c>
      <c r="I863" t="s">
        <v>8</v>
      </c>
      <c r="J863" s="4">
        <v>5</v>
      </c>
      <c r="K863" s="3">
        <v>2667.76</v>
      </c>
      <c r="L863">
        <v>0</v>
      </c>
      <c r="M863" s="2">
        <v>13338.8</v>
      </c>
      <c r="N863" s="2">
        <v>7676.78</v>
      </c>
      <c r="O863" s="2">
        <v>5662.02</v>
      </c>
      <c r="P863" s="1">
        <f>(Sales_Data[[#This Row],[Profit]]/Sales_Data[[#This Row],[Revenue]])</f>
        <v>0.42447746423966182</v>
      </c>
    </row>
    <row r="864" spans="1:16" x14ac:dyDescent="0.35">
      <c r="A864" t="s">
        <v>333</v>
      </c>
      <c r="B864" s="5" t="s">
        <v>332</v>
      </c>
      <c r="C864" s="5" t="s">
        <v>310</v>
      </c>
      <c r="D864" s="5" t="str">
        <f>"Q"&amp;ROUNDUP(MONTH(B864)/3,0)</f>
        <v>Q1</v>
      </c>
      <c r="E864" t="s">
        <v>36</v>
      </c>
      <c r="F864" t="s">
        <v>22</v>
      </c>
      <c r="G864" t="s">
        <v>214</v>
      </c>
      <c r="H864" t="s">
        <v>111</v>
      </c>
      <c r="I864" t="s">
        <v>49</v>
      </c>
      <c r="J864" s="4">
        <v>8</v>
      </c>
      <c r="K864" s="3">
        <v>8267.74</v>
      </c>
      <c r="L864">
        <v>0</v>
      </c>
      <c r="M864" s="2">
        <v>66141.919999999998</v>
      </c>
      <c r="N864" s="2">
        <v>44871.93</v>
      </c>
      <c r="O864" s="2">
        <v>21269.99</v>
      </c>
      <c r="P864" s="1">
        <f>(Sales_Data[[#This Row],[Profit]]/Sales_Data[[#This Row],[Revenue]])</f>
        <v>0.32158107898893779</v>
      </c>
    </row>
    <row r="865" spans="1:16" x14ac:dyDescent="0.35">
      <c r="A865" t="s">
        <v>331</v>
      </c>
      <c r="B865" s="5" t="s">
        <v>315</v>
      </c>
      <c r="C865" s="5" t="s">
        <v>310</v>
      </c>
      <c r="D865" s="5" t="str">
        <f>"Q"&amp;ROUNDUP(MONTH(B865)/3,0)</f>
        <v>Q1</v>
      </c>
      <c r="E865" t="s">
        <v>23</v>
      </c>
      <c r="F865" t="s">
        <v>52</v>
      </c>
      <c r="G865" t="s">
        <v>309</v>
      </c>
      <c r="H865" t="s">
        <v>59</v>
      </c>
      <c r="I865" t="s">
        <v>0</v>
      </c>
      <c r="J865" s="4">
        <v>8</v>
      </c>
      <c r="K865" s="3">
        <v>1512.41</v>
      </c>
      <c r="L865">
        <v>0</v>
      </c>
      <c r="M865" s="2">
        <v>12099.28</v>
      </c>
      <c r="N865" s="2">
        <v>7104.41</v>
      </c>
      <c r="O865" s="2">
        <v>4994.87</v>
      </c>
      <c r="P865" s="1">
        <f>(Sales_Data[[#This Row],[Profit]]/Sales_Data[[#This Row],[Revenue]])</f>
        <v>0.41282373827202939</v>
      </c>
    </row>
    <row r="866" spans="1:16" x14ac:dyDescent="0.35">
      <c r="A866" t="s">
        <v>330</v>
      </c>
      <c r="B866" s="5" t="s">
        <v>329</v>
      </c>
      <c r="C866" s="5" t="s">
        <v>310</v>
      </c>
      <c r="D866" s="5" t="str">
        <f>"Q"&amp;ROUNDUP(MONTH(B866)/3,0)</f>
        <v>Q1</v>
      </c>
      <c r="E866" t="s">
        <v>4</v>
      </c>
      <c r="F866" t="s">
        <v>63</v>
      </c>
      <c r="G866" t="s">
        <v>174</v>
      </c>
      <c r="H866" t="s">
        <v>9</v>
      </c>
      <c r="I866" t="s">
        <v>8</v>
      </c>
      <c r="J866" s="4">
        <v>1</v>
      </c>
      <c r="K866" s="3">
        <v>60624.800000000003</v>
      </c>
      <c r="L866">
        <v>0</v>
      </c>
      <c r="M866" s="2">
        <v>60624.800000000003</v>
      </c>
      <c r="N866" s="2">
        <v>42811.360000000001</v>
      </c>
      <c r="O866" s="2">
        <v>17813.439999999999</v>
      </c>
      <c r="P866" s="1">
        <f>(Sales_Data[[#This Row],[Profit]]/Sales_Data[[#This Row],[Revenue]])</f>
        <v>0.29383090748340607</v>
      </c>
    </row>
    <row r="867" spans="1:16" x14ac:dyDescent="0.35">
      <c r="A867" t="s">
        <v>328</v>
      </c>
      <c r="B867" s="5" t="s">
        <v>327</v>
      </c>
      <c r="C867" s="5" t="s">
        <v>310</v>
      </c>
      <c r="D867" s="5" t="str">
        <f>"Q"&amp;ROUNDUP(MONTH(B867)/3,0)</f>
        <v>Q1</v>
      </c>
      <c r="E867" t="s">
        <v>4</v>
      </c>
      <c r="F867" t="s">
        <v>52</v>
      </c>
      <c r="G867" t="s">
        <v>220</v>
      </c>
      <c r="H867" t="s">
        <v>111</v>
      </c>
      <c r="I867" t="s">
        <v>49</v>
      </c>
      <c r="J867" s="4">
        <v>8</v>
      </c>
      <c r="K867" s="3">
        <v>7719.01</v>
      </c>
      <c r="L867">
        <v>0</v>
      </c>
      <c r="M867" s="2">
        <v>61752.08</v>
      </c>
      <c r="N867" s="2">
        <v>41499.300000000003</v>
      </c>
      <c r="O867" s="2">
        <v>20252.78</v>
      </c>
      <c r="P867" s="1">
        <f>(Sales_Data[[#This Row],[Profit]]/Sales_Data[[#This Row],[Revenue]])</f>
        <v>0.32796919553155129</v>
      </c>
    </row>
    <row r="868" spans="1:16" x14ac:dyDescent="0.35">
      <c r="A868" t="s">
        <v>326</v>
      </c>
      <c r="B868" s="5" t="s">
        <v>315</v>
      </c>
      <c r="C868" s="5" t="s">
        <v>310</v>
      </c>
      <c r="D868" s="5" t="str">
        <f>"Q"&amp;ROUNDUP(MONTH(B868)/3,0)</f>
        <v>Q1</v>
      </c>
      <c r="E868" t="s">
        <v>4</v>
      </c>
      <c r="F868" t="s">
        <v>3</v>
      </c>
      <c r="G868" t="s">
        <v>159</v>
      </c>
      <c r="H868" t="s">
        <v>14</v>
      </c>
      <c r="I868" t="s">
        <v>8</v>
      </c>
      <c r="J868" s="4">
        <v>4</v>
      </c>
      <c r="K868" s="3">
        <v>2487.17</v>
      </c>
      <c r="L868">
        <v>0</v>
      </c>
      <c r="M868" s="2">
        <v>9948.68</v>
      </c>
      <c r="N868" s="2">
        <v>7759.49</v>
      </c>
      <c r="O868" s="2">
        <v>2189.19</v>
      </c>
      <c r="P868" s="1">
        <f>(Sales_Data[[#This Row],[Profit]]/Sales_Data[[#This Row],[Revenue]])</f>
        <v>0.2200482878130566</v>
      </c>
    </row>
    <row r="869" spans="1:16" x14ac:dyDescent="0.35">
      <c r="A869" t="s">
        <v>325</v>
      </c>
      <c r="B869" s="5" t="s">
        <v>324</v>
      </c>
      <c r="C869" s="5" t="s">
        <v>310</v>
      </c>
      <c r="D869" s="5" t="str">
        <f>"Q"&amp;ROUNDUP(MONTH(B869)/3,0)</f>
        <v>Q1</v>
      </c>
      <c r="E869" t="s">
        <v>23</v>
      </c>
      <c r="F869" t="s">
        <v>63</v>
      </c>
      <c r="G869" t="s">
        <v>309</v>
      </c>
      <c r="H869" t="s">
        <v>78</v>
      </c>
      <c r="I869" t="s">
        <v>19</v>
      </c>
      <c r="J869" s="4">
        <v>6</v>
      </c>
      <c r="K869" s="3">
        <v>120.41</v>
      </c>
      <c r="L869">
        <v>0</v>
      </c>
      <c r="M869" s="2">
        <v>722.46</v>
      </c>
      <c r="N869" s="2">
        <v>423.02</v>
      </c>
      <c r="O869" s="2">
        <v>299.44</v>
      </c>
      <c r="P869" s="1">
        <f>(Sales_Data[[#This Row],[Profit]]/Sales_Data[[#This Row],[Revenue]])</f>
        <v>0.41447277357916007</v>
      </c>
    </row>
    <row r="870" spans="1:16" x14ac:dyDescent="0.35">
      <c r="A870" t="s">
        <v>323</v>
      </c>
      <c r="B870" s="5" t="s">
        <v>322</v>
      </c>
      <c r="C870" s="5" t="s">
        <v>310</v>
      </c>
      <c r="D870" s="5" t="str">
        <f>"Q"&amp;ROUNDUP(MONTH(B870)/3,0)</f>
        <v>Q1</v>
      </c>
      <c r="E870" t="s">
        <v>36</v>
      </c>
      <c r="F870" t="s">
        <v>3</v>
      </c>
      <c r="G870" t="s">
        <v>169</v>
      </c>
      <c r="H870" t="s">
        <v>50</v>
      </c>
      <c r="I870" t="s">
        <v>49</v>
      </c>
      <c r="J870" s="4">
        <v>3</v>
      </c>
      <c r="K870" s="3">
        <v>4183.72</v>
      </c>
      <c r="L870">
        <v>0</v>
      </c>
      <c r="M870" s="2">
        <v>12551.16</v>
      </c>
      <c r="N870" s="2">
        <v>10279.200000000001</v>
      </c>
      <c r="O870" s="2">
        <v>2271.96</v>
      </c>
      <c r="P870" s="1">
        <f>(Sales_Data[[#This Row],[Profit]]/Sales_Data[[#This Row],[Revenue]])</f>
        <v>0.18101593796908017</v>
      </c>
    </row>
    <row r="871" spans="1:16" x14ac:dyDescent="0.35">
      <c r="A871" t="s">
        <v>321</v>
      </c>
      <c r="B871" s="5" t="s">
        <v>313</v>
      </c>
      <c r="C871" s="5" t="s">
        <v>310</v>
      </c>
      <c r="D871" s="5" t="str">
        <f>"Q"&amp;ROUNDUP(MONTH(B871)/3,0)</f>
        <v>Q1</v>
      </c>
      <c r="E871" t="s">
        <v>16</v>
      </c>
      <c r="F871" t="s">
        <v>22</v>
      </c>
      <c r="G871" t="s">
        <v>101</v>
      </c>
      <c r="H871" t="s">
        <v>78</v>
      </c>
      <c r="I871" t="s">
        <v>19</v>
      </c>
      <c r="J871" s="4">
        <v>1</v>
      </c>
      <c r="K871" s="3">
        <v>118.9</v>
      </c>
      <c r="L871">
        <v>0</v>
      </c>
      <c r="M871" s="2">
        <v>118.9</v>
      </c>
      <c r="N871" s="2">
        <v>72.73</v>
      </c>
      <c r="O871" s="2">
        <v>46.17</v>
      </c>
      <c r="P871" s="1">
        <f>(Sales_Data[[#This Row],[Profit]]/Sales_Data[[#This Row],[Revenue]])</f>
        <v>0.38830950378469303</v>
      </c>
    </row>
    <row r="872" spans="1:16" x14ac:dyDescent="0.35">
      <c r="A872" t="s">
        <v>320</v>
      </c>
      <c r="B872" s="5" t="s">
        <v>319</v>
      </c>
      <c r="C872" s="5" t="s">
        <v>310</v>
      </c>
      <c r="D872" s="5" t="str">
        <f>"Q"&amp;ROUNDUP(MONTH(B872)/3,0)</f>
        <v>Q1</v>
      </c>
      <c r="E872" t="s">
        <v>36</v>
      </c>
      <c r="F872" t="s">
        <v>52</v>
      </c>
      <c r="G872" t="s">
        <v>79</v>
      </c>
      <c r="H872" t="s">
        <v>1</v>
      </c>
      <c r="I872" t="s">
        <v>0</v>
      </c>
      <c r="J872" s="4">
        <v>2</v>
      </c>
      <c r="K872" s="3">
        <v>522.69000000000005</v>
      </c>
      <c r="L872">
        <v>0</v>
      </c>
      <c r="M872" s="2">
        <v>1045.3800000000001</v>
      </c>
      <c r="N872" s="2">
        <v>787.08</v>
      </c>
      <c r="O872" s="2">
        <v>258.3</v>
      </c>
      <c r="P872" s="1">
        <f>(Sales_Data[[#This Row],[Profit]]/Sales_Data[[#This Row],[Revenue]])</f>
        <v>0.24708718360787463</v>
      </c>
    </row>
    <row r="873" spans="1:16" x14ac:dyDescent="0.35">
      <c r="A873" t="s">
        <v>318</v>
      </c>
      <c r="B873" s="5" t="s">
        <v>317</v>
      </c>
      <c r="C873" s="5" t="s">
        <v>310</v>
      </c>
      <c r="D873" s="5" t="str">
        <f>"Q"&amp;ROUNDUP(MONTH(B873)/3,0)</f>
        <v>Q1</v>
      </c>
      <c r="E873" t="s">
        <v>23</v>
      </c>
      <c r="F873" t="s">
        <v>3</v>
      </c>
      <c r="G873" t="s">
        <v>142</v>
      </c>
      <c r="H873" t="s">
        <v>45</v>
      </c>
      <c r="I873" t="s">
        <v>8</v>
      </c>
      <c r="J873" s="4">
        <v>2</v>
      </c>
      <c r="K873" s="3">
        <v>838.68</v>
      </c>
      <c r="L873">
        <v>0</v>
      </c>
      <c r="M873" s="2">
        <v>1677.36</v>
      </c>
      <c r="N873" s="2">
        <v>1412.67</v>
      </c>
      <c r="O873" s="2">
        <v>264.69</v>
      </c>
      <c r="P873" s="1">
        <f>(Sales_Data[[#This Row],[Profit]]/Sales_Data[[#This Row],[Revenue]])</f>
        <v>0.15780154528544857</v>
      </c>
    </row>
    <row r="874" spans="1:16" x14ac:dyDescent="0.35">
      <c r="A874" t="s">
        <v>316</v>
      </c>
      <c r="B874" s="5" t="s">
        <v>315</v>
      </c>
      <c r="C874" s="5" t="s">
        <v>310</v>
      </c>
      <c r="D874" s="5" t="str">
        <f>"Q"&amp;ROUNDUP(MONTH(B874)/3,0)</f>
        <v>Q1</v>
      </c>
      <c r="E874" t="s">
        <v>4</v>
      </c>
      <c r="F874" t="s">
        <v>3</v>
      </c>
      <c r="G874" t="s">
        <v>46</v>
      </c>
      <c r="H874" t="s">
        <v>50</v>
      </c>
      <c r="I874" t="s">
        <v>49</v>
      </c>
      <c r="J874" s="4">
        <v>4</v>
      </c>
      <c r="K874" s="3">
        <v>4843.6499999999996</v>
      </c>
      <c r="L874">
        <v>0</v>
      </c>
      <c r="M874" s="2">
        <v>19374.599999999999</v>
      </c>
      <c r="N874" s="2">
        <v>15237.38</v>
      </c>
      <c r="O874" s="2">
        <v>4137.22</v>
      </c>
      <c r="P874" s="1">
        <f>(Sales_Data[[#This Row],[Profit]]/Sales_Data[[#This Row],[Revenue]])</f>
        <v>0.21353834401742491</v>
      </c>
    </row>
    <row r="875" spans="1:16" x14ac:dyDescent="0.35">
      <c r="A875" t="s">
        <v>314</v>
      </c>
      <c r="B875" s="5" t="s">
        <v>313</v>
      </c>
      <c r="C875" s="5" t="s">
        <v>310</v>
      </c>
      <c r="D875" s="5" t="str">
        <f>"Q"&amp;ROUNDUP(MONTH(B875)/3,0)</f>
        <v>Q1</v>
      </c>
      <c r="E875" t="s">
        <v>16</v>
      </c>
      <c r="F875" t="s">
        <v>56</v>
      </c>
      <c r="G875" t="s">
        <v>98</v>
      </c>
      <c r="H875" t="s">
        <v>14</v>
      </c>
      <c r="I875" t="s">
        <v>8</v>
      </c>
      <c r="J875" s="4">
        <v>8</v>
      </c>
      <c r="K875" s="3">
        <v>2735.19</v>
      </c>
      <c r="L875">
        <v>0</v>
      </c>
      <c r="M875" s="2">
        <v>21881.52</v>
      </c>
      <c r="N875" s="2">
        <v>15979.45</v>
      </c>
      <c r="O875" s="2">
        <v>5902.07</v>
      </c>
      <c r="P875" s="1">
        <f>(Sales_Data[[#This Row],[Profit]]/Sales_Data[[#This Row],[Revenue]])</f>
        <v>0.26972851977376339</v>
      </c>
    </row>
    <row r="876" spans="1:16" x14ac:dyDescent="0.35">
      <c r="A876" t="s">
        <v>312</v>
      </c>
      <c r="B876" s="5" t="s">
        <v>311</v>
      </c>
      <c r="C876" s="5" t="s">
        <v>310</v>
      </c>
      <c r="D876" s="5" t="str">
        <f>"Q"&amp;ROUNDUP(MONTH(B876)/3,0)</f>
        <v>Q1</v>
      </c>
      <c r="E876" t="s">
        <v>36</v>
      </c>
      <c r="F876" t="s">
        <v>52</v>
      </c>
      <c r="G876" t="s">
        <v>309</v>
      </c>
      <c r="H876" t="s">
        <v>78</v>
      </c>
      <c r="I876" t="s">
        <v>19</v>
      </c>
      <c r="J876" s="4">
        <v>6</v>
      </c>
      <c r="K876" s="3">
        <v>126.65</v>
      </c>
      <c r="L876">
        <v>0</v>
      </c>
      <c r="M876" s="2">
        <v>759.9</v>
      </c>
      <c r="N876" s="2">
        <v>534.45000000000005</v>
      </c>
      <c r="O876" s="2">
        <v>225.45</v>
      </c>
      <c r="P876" s="1">
        <f>(Sales_Data[[#This Row],[Profit]]/Sales_Data[[#This Row],[Revenue]])</f>
        <v>0.29668377418081326</v>
      </c>
    </row>
    <row r="877" spans="1:16" x14ac:dyDescent="0.35">
      <c r="A877" t="s">
        <v>308</v>
      </c>
      <c r="B877" s="5" t="s">
        <v>307</v>
      </c>
      <c r="C877" s="5" t="s">
        <v>275</v>
      </c>
      <c r="D877" s="5" t="str">
        <f>"Q"&amp;ROUNDUP(MONTH(B877)/3,0)</f>
        <v>Q1</v>
      </c>
      <c r="E877" t="s">
        <v>36</v>
      </c>
      <c r="F877" t="s">
        <v>11</v>
      </c>
      <c r="G877" t="s">
        <v>128</v>
      </c>
      <c r="H877" t="s">
        <v>50</v>
      </c>
      <c r="I877" t="s">
        <v>49</v>
      </c>
      <c r="J877" s="4">
        <v>3</v>
      </c>
      <c r="K877" s="3">
        <v>4604.26</v>
      </c>
      <c r="L877">
        <v>0</v>
      </c>
      <c r="M877" s="2">
        <v>13812.78</v>
      </c>
      <c r="N877" s="2">
        <v>11072.45</v>
      </c>
      <c r="O877" s="2">
        <v>2740.33</v>
      </c>
      <c r="P877" s="1">
        <f>(Sales_Data[[#This Row],[Profit]]/Sales_Data[[#This Row],[Revenue]])</f>
        <v>0.19839091044670223</v>
      </c>
    </row>
    <row r="878" spans="1:16" x14ac:dyDescent="0.35">
      <c r="A878" t="s">
        <v>306</v>
      </c>
      <c r="B878" s="5" t="s">
        <v>305</v>
      </c>
      <c r="C878" s="5" t="s">
        <v>275</v>
      </c>
      <c r="D878" s="5" t="str">
        <f>"Q"&amp;ROUNDUP(MONTH(B878)/3,0)</f>
        <v>Q1</v>
      </c>
      <c r="E878" t="s">
        <v>36</v>
      </c>
      <c r="F878" t="s">
        <v>52</v>
      </c>
      <c r="G878" t="s">
        <v>95</v>
      </c>
      <c r="H878" t="s">
        <v>34</v>
      </c>
      <c r="I878" t="s">
        <v>8</v>
      </c>
      <c r="J878" s="4">
        <v>3</v>
      </c>
      <c r="K878" s="3">
        <v>25175.599999999999</v>
      </c>
      <c r="L878">
        <v>0</v>
      </c>
      <c r="M878" s="2">
        <v>75526.8</v>
      </c>
      <c r="N878" s="2">
        <v>54906.42</v>
      </c>
      <c r="O878" s="2">
        <v>20620.38</v>
      </c>
      <c r="P878" s="1">
        <f>(Sales_Data[[#This Row],[Profit]]/Sales_Data[[#This Row],[Revenue]])</f>
        <v>0.27302070258504268</v>
      </c>
    </row>
    <row r="879" spans="1:16" x14ac:dyDescent="0.35">
      <c r="A879" t="s">
        <v>304</v>
      </c>
      <c r="B879" s="5" t="s">
        <v>286</v>
      </c>
      <c r="C879" s="5" t="s">
        <v>275</v>
      </c>
      <c r="D879" s="5" t="str">
        <f>"Q"&amp;ROUNDUP(MONTH(B879)/3,0)</f>
        <v>Q1</v>
      </c>
      <c r="E879" t="s">
        <v>23</v>
      </c>
      <c r="F879" t="s">
        <v>3</v>
      </c>
      <c r="G879" t="s">
        <v>159</v>
      </c>
      <c r="H879" t="s">
        <v>1</v>
      </c>
      <c r="I879" t="s">
        <v>0</v>
      </c>
      <c r="J879" s="4">
        <v>8</v>
      </c>
      <c r="K879" s="3">
        <v>466.04</v>
      </c>
      <c r="L879">
        <v>0</v>
      </c>
      <c r="M879" s="2">
        <v>3728.32</v>
      </c>
      <c r="N879" s="2">
        <v>2480.9499999999998</v>
      </c>
      <c r="O879" s="2">
        <v>1247.3699999999999</v>
      </c>
      <c r="P879" s="1">
        <f>(Sales_Data[[#This Row],[Profit]]/Sales_Data[[#This Row],[Revenue]])</f>
        <v>0.33456623894944637</v>
      </c>
    </row>
    <row r="880" spans="1:16" x14ac:dyDescent="0.35">
      <c r="A880" t="s">
        <v>303</v>
      </c>
      <c r="B880" s="5" t="s">
        <v>302</v>
      </c>
      <c r="C880" s="5" t="s">
        <v>275</v>
      </c>
      <c r="D880" s="5" t="str">
        <f>"Q"&amp;ROUNDUP(MONTH(B880)/3,0)</f>
        <v>Q1</v>
      </c>
      <c r="E880" t="s">
        <v>4</v>
      </c>
      <c r="F880" t="s">
        <v>56</v>
      </c>
      <c r="G880" t="s">
        <v>116</v>
      </c>
      <c r="H880" t="s">
        <v>20</v>
      </c>
      <c r="I880" t="s">
        <v>19</v>
      </c>
      <c r="J880" s="4">
        <v>6</v>
      </c>
      <c r="K880" s="3">
        <v>27.24</v>
      </c>
      <c r="L880">
        <v>0</v>
      </c>
      <c r="M880" s="2">
        <v>163.44</v>
      </c>
      <c r="N880" s="2">
        <v>102.24</v>
      </c>
      <c r="O880" s="2">
        <v>61.2</v>
      </c>
      <c r="P880" s="1">
        <f>(Sales_Data[[#This Row],[Profit]]/Sales_Data[[#This Row],[Revenue]])</f>
        <v>0.37444933920704848</v>
      </c>
    </row>
    <row r="881" spans="1:16" x14ac:dyDescent="0.35">
      <c r="A881" t="s">
        <v>301</v>
      </c>
      <c r="B881" s="5" t="s">
        <v>284</v>
      </c>
      <c r="C881" s="5" t="s">
        <v>275</v>
      </c>
      <c r="D881" s="5" t="str">
        <f>"Q"&amp;ROUNDUP(MONTH(B881)/3,0)</f>
        <v>Q1</v>
      </c>
      <c r="E881" t="s">
        <v>23</v>
      </c>
      <c r="F881" t="s">
        <v>52</v>
      </c>
      <c r="G881" t="s">
        <v>60</v>
      </c>
      <c r="H881" t="s">
        <v>34</v>
      </c>
      <c r="I881" t="s">
        <v>8</v>
      </c>
      <c r="J881" s="4">
        <v>8</v>
      </c>
      <c r="K881" s="3">
        <v>26240.400000000001</v>
      </c>
      <c r="L881">
        <v>0</v>
      </c>
      <c r="M881" s="2">
        <v>209923.20000000001</v>
      </c>
      <c r="N881" s="2">
        <v>141131.28</v>
      </c>
      <c r="O881" s="2">
        <v>68791.92</v>
      </c>
      <c r="P881" s="1">
        <f>(Sales_Data[[#This Row],[Profit]]/Sales_Data[[#This Row],[Revenue]])</f>
        <v>0.32770041615219275</v>
      </c>
    </row>
    <row r="882" spans="1:16" x14ac:dyDescent="0.35">
      <c r="A882" t="s">
        <v>300</v>
      </c>
      <c r="B882" s="5" t="s">
        <v>299</v>
      </c>
      <c r="C882" s="5" t="s">
        <v>275</v>
      </c>
      <c r="D882" s="5" t="str">
        <f>"Q"&amp;ROUNDUP(MONTH(B882)/3,0)</f>
        <v>Q1</v>
      </c>
      <c r="E882" t="s">
        <v>4</v>
      </c>
      <c r="F882" t="s">
        <v>22</v>
      </c>
      <c r="G882" t="s">
        <v>264</v>
      </c>
      <c r="H882" t="s">
        <v>78</v>
      </c>
      <c r="I882" t="s">
        <v>19</v>
      </c>
      <c r="J882" s="4">
        <v>2</v>
      </c>
      <c r="K882" s="3">
        <v>131.44</v>
      </c>
      <c r="L882">
        <v>0</v>
      </c>
      <c r="M882" s="2">
        <v>262.88</v>
      </c>
      <c r="N882" s="2">
        <v>187.1</v>
      </c>
      <c r="O882" s="2">
        <v>75.78</v>
      </c>
      <c r="P882" s="1">
        <f>(Sales_Data[[#This Row],[Profit]]/Sales_Data[[#This Row],[Revenue]])</f>
        <v>0.28826841144248327</v>
      </c>
    </row>
    <row r="883" spans="1:16" x14ac:dyDescent="0.35">
      <c r="A883" t="s">
        <v>298</v>
      </c>
      <c r="B883" s="5" t="s">
        <v>297</v>
      </c>
      <c r="C883" s="5" t="s">
        <v>275</v>
      </c>
      <c r="D883" s="5" t="str">
        <f>"Q"&amp;ROUNDUP(MONTH(B883)/3,0)</f>
        <v>Q1</v>
      </c>
      <c r="E883" t="s">
        <v>36</v>
      </c>
      <c r="F883" t="s">
        <v>3</v>
      </c>
      <c r="G883" t="s">
        <v>31</v>
      </c>
      <c r="H883" t="s">
        <v>14</v>
      </c>
      <c r="I883" t="s">
        <v>8</v>
      </c>
      <c r="J883" s="4">
        <v>1</v>
      </c>
      <c r="K883" s="3">
        <v>2651</v>
      </c>
      <c r="L883">
        <v>0</v>
      </c>
      <c r="M883" s="2">
        <v>2651</v>
      </c>
      <c r="N883" s="2">
        <v>1932.83</v>
      </c>
      <c r="O883" s="2">
        <v>718.17</v>
      </c>
      <c r="P883" s="1">
        <f>(Sales_Data[[#This Row],[Profit]]/Sales_Data[[#This Row],[Revenue]])</f>
        <v>0.2709053187476424</v>
      </c>
    </row>
    <row r="884" spans="1:16" x14ac:dyDescent="0.35">
      <c r="A884" t="s">
        <v>296</v>
      </c>
      <c r="B884" s="5" t="s">
        <v>295</v>
      </c>
      <c r="C884" s="5" t="s">
        <v>275</v>
      </c>
      <c r="D884" s="5" t="str">
        <f>"Q"&amp;ROUNDUP(MONTH(B884)/3,0)</f>
        <v>Q1</v>
      </c>
      <c r="E884" t="s">
        <v>4</v>
      </c>
      <c r="F884" t="s">
        <v>3</v>
      </c>
      <c r="G884" t="s">
        <v>294</v>
      </c>
      <c r="H884" t="s">
        <v>59</v>
      </c>
      <c r="I884" t="s">
        <v>0</v>
      </c>
      <c r="J884" s="4">
        <v>2</v>
      </c>
      <c r="K884" s="3">
        <v>1570.5</v>
      </c>
      <c r="L884">
        <v>0</v>
      </c>
      <c r="M884" s="2">
        <v>3141</v>
      </c>
      <c r="N884" s="2">
        <v>2323.71</v>
      </c>
      <c r="O884" s="2">
        <v>817.29</v>
      </c>
      <c r="P884" s="1">
        <f>(Sales_Data[[#This Row],[Profit]]/Sales_Data[[#This Row],[Revenue]])</f>
        <v>0.26020057306590255</v>
      </c>
    </row>
    <row r="885" spans="1:16" x14ac:dyDescent="0.35">
      <c r="A885" t="s">
        <v>293</v>
      </c>
      <c r="B885" s="5" t="s">
        <v>292</v>
      </c>
      <c r="C885" s="5" t="s">
        <v>275</v>
      </c>
      <c r="D885" s="5" t="str">
        <f>"Q"&amp;ROUNDUP(MONTH(B885)/3,0)</f>
        <v>Q1</v>
      </c>
      <c r="E885" t="s">
        <v>36</v>
      </c>
      <c r="F885" t="s">
        <v>52</v>
      </c>
      <c r="G885" t="s">
        <v>46</v>
      </c>
      <c r="H885" t="s">
        <v>14</v>
      </c>
      <c r="I885" t="s">
        <v>8</v>
      </c>
      <c r="J885" s="4">
        <v>7</v>
      </c>
      <c r="K885" s="3">
        <v>2363.5500000000002</v>
      </c>
      <c r="L885">
        <v>0</v>
      </c>
      <c r="M885" s="2">
        <v>16544.849999999999</v>
      </c>
      <c r="N885" s="2">
        <v>11012.63</v>
      </c>
      <c r="O885" s="2">
        <v>5532.22</v>
      </c>
      <c r="P885" s="1">
        <f>(Sales_Data[[#This Row],[Profit]]/Sales_Data[[#This Row],[Revenue]])</f>
        <v>0.33437716268204309</v>
      </c>
    </row>
    <row r="886" spans="1:16" x14ac:dyDescent="0.35">
      <c r="A886" t="s">
        <v>291</v>
      </c>
      <c r="B886" s="5" t="s">
        <v>290</v>
      </c>
      <c r="C886" s="5" t="s">
        <v>275</v>
      </c>
      <c r="D886" s="5" t="str">
        <f>"Q"&amp;ROUNDUP(MONTH(B886)/3,0)</f>
        <v>Q1</v>
      </c>
      <c r="E886" t="s">
        <v>4</v>
      </c>
      <c r="F886" t="s">
        <v>11</v>
      </c>
      <c r="G886" t="s">
        <v>108</v>
      </c>
      <c r="H886" t="s">
        <v>50</v>
      </c>
      <c r="I886" t="s">
        <v>49</v>
      </c>
      <c r="J886" s="4">
        <v>1</v>
      </c>
      <c r="K886" s="3">
        <v>4866.3100000000004</v>
      </c>
      <c r="L886">
        <v>0</v>
      </c>
      <c r="M886" s="2">
        <v>4866.3100000000004</v>
      </c>
      <c r="N886" s="2">
        <v>4078.58</v>
      </c>
      <c r="O886" s="2">
        <v>787.73</v>
      </c>
      <c r="P886" s="1">
        <f>(Sales_Data[[#This Row],[Profit]]/Sales_Data[[#This Row],[Revenue]])</f>
        <v>0.16187419214969864</v>
      </c>
    </row>
    <row r="887" spans="1:16" x14ac:dyDescent="0.35">
      <c r="A887" t="s">
        <v>289</v>
      </c>
      <c r="B887" s="5" t="s">
        <v>288</v>
      </c>
      <c r="C887" s="5" t="s">
        <v>275</v>
      </c>
      <c r="D887" s="5" t="str">
        <f>"Q"&amp;ROUNDUP(MONTH(B887)/3,0)</f>
        <v>Q1</v>
      </c>
      <c r="E887" t="s">
        <v>16</v>
      </c>
      <c r="F887" t="s">
        <v>52</v>
      </c>
      <c r="G887" t="s">
        <v>71</v>
      </c>
      <c r="H887" t="s">
        <v>59</v>
      </c>
      <c r="I887" t="s">
        <v>0</v>
      </c>
      <c r="J887" s="4">
        <v>7</v>
      </c>
      <c r="K887" s="3">
        <v>1446.36</v>
      </c>
      <c r="L887">
        <v>0</v>
      </c>
      <c r="M887" s="2">
        <v>10124.52</v>
      </c>
      <c r="N887" s="2">
        <v>7851.64</v>
      </c>
      <c r="O887" s="2">
        <v>2272.88</v>
      </c>
      <c r="P887" s="1">
        <f>(Sales_Data[[#This Row],[Profit]]/Sales_Data[[#This Row],[Revenue]])</f>
        <v>0.22449261792163974</v>
      </c>
    </row>
    <row r="888" spans="1:16" x14ac:dyDescent="0.35">
      <c r="A888" t="s">
        <v>287</v>
      </c>
      <c r="B888" s="5" t="s">
        <v>286</v>
      </c>
      <c r="C888" s="5" t="s">
        <v>275</v>
      </c>
      <c r="D888" s="5" t="str">
        <f>"Q"&amp;ROUNDUP(MONTH(B888)/3,0)</f>
        <v>Q1</v>
      </c>
      <c r="E888" t="s">
        <v>36</v>
      </c>
      <c r="F888" t="s">
        <v>63</v>
      </c>
      <c r="G888" t="s">
        <v>118</v>
      </c>
      <c r="H888" t="s">
        <v>34</v>
      </c>
      <c r="I888" t="s">
        <v>8</v>
      </c>
      <c r="J888" s="4">
        <v>6</v>
      </c>
      <c r="K888" s="3">
        <v>23070.11</v>
      </c>
      <c r="L888">
        <v>0</v>
      </c>
      <c r="M888" s="2">
        <v>138420.66</v>
      </c>
      <c r="N888" s="2">
        <v>85603.43</v>
      </c>
      <c r="O888" s="2">
        <v>52817.23</v>
      </c>
      <c r="P888" s="1">
        <f>(Sales_Data[[#This Row],[Profit]]/Sales_Data[[#This Row],[Revenue]])</f>
        <v>0.38157042453055778</v>
      </c>
    </row>
    <row r="889" spans="1:16" x14ac:dyDescent="0.35">
      <c r="A889" t="s">
        <v>285</v>
      </c>
      <c r="B889" s="5" t="s">
        <v>284</v>
      </c>
      <c r="C889" s="5" t="s">
        <v>275</v>
      </c>
      <c r="D889" s="5" t="str">
        <f>"Q"&amp;ROUNDUP(MONTH(B889)/3,0)</f>
        <v>Q1</v>
      </c>
      <c r="E889" t="s">
        <v>23</v>
      </c>
      <c r="F889" t="s">
        <v>52</v>
      </c>
      <c r="G889" t="s">
        <v>174</v>
      </c>
      <c r="H889" t="s">
        <v>14</v>
      </c>
      <c r="I889" t="s">
        <v>8</v>
      </c>
      <c r="J889" s="4">
        <v>4</v>
      </c>
      <c r="K889" s="3">
        <v>2299.5100000000002</v>
      </c>
      <c r="L889">
        <v>0</v>
      </c>
      <c r="M889" s="2">
        <v>9198.0400000000009</v>
      </c>
      <c r="N889" s="2">
        <v>6355.52</v>
      </c>
      <c r="O889" s="2">
        <v>2842.52</v>
      </c>
      <c r="P889" s="1">
        <f>(Sales_Data[[#This Row],[Profit]]/Sales_Data[[#This Row],[Revenue]])</f>
        <v>0.30903540319459361</v>
      </c>
    </row>
    <row r="890" spans="1:16" x14ac:dyDescent="0.35">
      <c r="A890" t="s">
        <v>283</v>
      </c>
      <c r="B890" s="5" t="s">
        <v>282</v>
      </c>
      <c r="C890" s="5" t="s">
        <v>275</v>
      </c>
      <c r="D890" s="5" t="str">
        <f>"Q"&amp;ROUNDUP(MONTH(B890)/3,0)</f>
        <v>Q1</v>
      </c>
      <c r="E890" t="s">
        <v>36</v>
      </c>
      <c r="F890" t="s">
        <v>11</v>
      </c>
      <c r="G890" t="s">
        <v>98</v>
      </c>
      <c r="H890" t="s">
        <v>34</v>
      </c>
      <c r="I890" t="s">
        <v>8</v>
      </c>
      <c r="J890" s="4">
        <v>1</v>
      </c>
      <c r="K890" s="3">
        <v>23141.8</v>
      </c>
      <c r="L890">
        <v>0</v>
      </c>
      <c r="M890" s="2">
        <v>23141.8</v>
      </c>
      <c r="N890" s="2">
        <v>18433.13</v>
      </c>
      <c r="O890" s="2">
        <v>4708.67</v>
      </c>
      <c r="P890" s="1">
        <f>(Sales_Data[[#This Row],[Profit]]/Sales_Data[[#This Row],[Revenue]])</f>
        <v>0.20347034370705824</v>
      </c>
    </row>
    <row r="891" spans="1:16" x14ac:dyDescent="0.35">
      <c r="A891" t="s">
        <v>281</v>
      </c>
      <c r="B891" s="5" t="s">
        <v>280</v>
      </c>
      <c r="C891" s="5" t="s">
        <v>275</v>
      </c>
      <c r="D891" s="5" t="str">
        <f>"Q"&amp;ROUNDUP(MONTH(B891)/3,0)</f>
        <v>Q1</v>
      </c>
      <c r="E891" t="s">
        <v>36</v>
      </c>
      <c r="F891" t="s">
        <v>3</v>
      </c>
      <c r="G891" t="s">
        <v>112</v>
      </c>
      <c r="H891" t="s">
        <v>78</v>
      </c>
      <c r="I891" t="s">
        <v>19</v>
      </c>
      <c r="J891" s="4">
        <v>1</v>
      </c>
      <c r="K891" s="3">
        <v>121.6</v>
      </c>
      <c r="L891">
        <v>0</v>
      </c>
      <c r="M891" s="2">
        <v>121.6</v>
      </c>
      <c r="N891" s="2">
        <v>101.28</v>
      </c>
      <c r="O891" s="2">
        <v>20.32</v>
      </c>
      <c r="P891" s="1">
        <f>(Sales_Data[[#This Row],[Profit]]/Sales_Data[[#This Row],[Revenue]])</f>
        <v>0.16710526315789476</v>
      </c>
    </row>
    <row r="892" spans="1:16" x14ac:dyDescent="0.35">
      <c r="A892" t="s">
        <v>279</v>
      </c>
      <c r="B892" s="5" t="s">
        <v>278</v>
      </c>
      <c r="C892" s="5" t="s">
        <v>275</v>
      </c>
      <c r="D892" s="5" t="str">
        <f>"Q"&amp;ROUNDUP(MONTH(B892)/3,0)</f>
        <v>Q1</v>
      </c>
      <c r="E892" t="s">
        <v>23</v>
      </c>
      <c r="F892" t="s">
        <v>56</v>
      </c>
      <c r="G892" t="s">
        <v>112</v>
      </c>
      <c r="H892" t="s">
        <v>59</v>
      </c>
      <c r="I892" t="s">
        <v>0</v>
      </c>
      <c r="J892" s="4">
        <v>8</v>
      </c>
      <c r="K892" s="3">
        <v>1631.11</v>
      </c>
      <c r="L892">
        <v>0</v>
      </c>
      <c r="M892" s="2">
        <v>13048.88</v>
      </c>
      <c r="N892" s="2">
        <v>8573.67</v>
      </c>
      <c r="O892" s="2">
        <v>4475.21</v>
      </c>
      <c r="P892" s="1">
        <f>(Sales_Data[[#This Row],[Profit]]/Sales_Data[[#This Row],[Revenue]])</f>
        <v>0.34295740324073792</v>
      </c>
    </row>
    <row r="893" spans="1:16" x14ac:dyDescent="0.35">
      <c r="A893" t="s">
        <v>277</v>
      </c>
      <c r="B893" s="5" t="s">
        <v>276</v>
      </c>
      <c r="C893" s="5" t="s">
        <v>275</v>
      </c>
      <c r="D893" s="5" t="str">
        <f>"Q"&amp;ROUNDUP(MONTH(B893)/3,0)</f>
        <v>Q1</v>
      </c>
      <c r="E893" t="s">
        <v>36</v>
      </c>
      <c r="F893" t="s">
        <v>11</v>
      </c>
      <c r="G893" t="s">
        <v>2</v>
      </c>
      <c r="H893" t="s">
        <v>9</v>
      </c>
      <c r="I893" t="s">
        <v>8</v>
      </c>
      <c r="J893" s="4">
        <v>1</v>
      </c>
      <c r="K893" s="3">
        <v>54817.81</v>
      </c>
      <c r="L893">
        <v>0</v>
      </c>
      <c r="M893" s="2">
        <v>54817.81</v>
      </c>
      <c r="N893" s="2">
        <v>43479.65</v>
      </c>
      <c r="O893" s="2">
        <v>11338.16</v>
      </c>
      <c r="P893" s="1">
        <f>(Sales_Data[[#This Row],[Profit]]/Sales_Data[[#This Row],[Revenue]])</f>
        <v>0.20683350903657041</v>
      </c>
    </row>
    <row r="894" spans="1:16" x14ac:dyDescent="0.35">
      <c r="A894" t="s">
        <v>274</v>
      </c>
      <c r="B894" s="5" t="s">
        <v>273</v>
      </c>
      <c r="C894" s="5" t="s">
        <v>235</v>
      </c>
      <c r="D894" s="5" t="str">
        <f>"Q"&amp;ROUNDUP(MONTH(B894)/3,0)</f>
        <v>Q3</v>
      </c>
      <c r="E894" t="s">
        <v>16</v>
      </c>
      <c r="F894" t="s">
        <v>63</v>
      </c>
      <c r="G894" t="s">
        <v>264</v>
      </c>
      <c r="H894" t="s">
        <v>45</v>
      </c>
      <c r="I894" t="s">
        <v>8</v>
      </c>
      <c r="J894" s="4">
        <v>4</v>
      </c>
      <c r="K894" s="3">
        <v>845.34</v>
      </c>
      <c r="L894">
        <v>0</v>
      </c>
      <c r="M894" s="2">
        <v>3381.36</v>
      </c>
      <c r="N894" s="2">
        <v>2121.1799999999998</v>
      </c>
      <c r="O894" s="2">
        <v>1260.18</v>
      </c>
      <c r="P894" s="1">
        <f>(Sales_Data[[#This Row],[Profit]]/Sales_Data[[#This Row],[Revenue]])</f>
        <v>0.37268436368798352</v>
      </c>
    </row>
    <row r="895" spans="1:16" x14ac:dyDescent="0.35">
      <c r="A895" t="s">
        <v>272</v>
      </c>
      <c r="B895" s="5" t="s">
        <v>265</v>
      </c>
      <c r="C895" s="5" t="s">
        <v>235</v>
      </c>
      <c r="D895" s="5" t="str">
        <f>"Q"&amp;ROUNDUP(MONTH(B895)/3,0)</f>
        <v>Q3</v>
      </c>
      <c r="E895" t="s">
        <v>36</v>
      </c>
      <c r="F895" t="s">
        <v>11</v>
      </c>
      <c r="G895" t="s">
        <v>108</v>
      </c>
      <c r="H895" t="s">
        <v>34</v>
      </c>
      <c r="I895" t="s">
        <v>8</v>
      </c>
      <c r="J895" s="4">
        <v>6</v>
      </c>
      <c r="K895" s="3">
        <v>26412.78</v>
      </c>
      <c r="L895">
        <v>0</v>
      </c>
      <c r="M895" s="2">
        <v>158476.68</v>
      </c>
      <c r="N895" s="2">
        <v>118234</v>
      </c>
      <c r="O895" s="2">
        <v>40242.68</v>
      </c>
      <c r="P895" s="1">
        <f>(Sales_Data[[#This Row],[Profit]]/Sales_Data[[#This Row],[Revenue]])</f>
        <v>0.25393439589976269</v>
      </c>
    </row>
    <row r="896" spans="1:16" x14ac:dyDescent="0.35">
      <c r="A896" t="s">
        <v>271</v>
      </c>
      <c r="B896" s="5" t="s">
        <v>270</v>
      </c>
      <c r="C896" s="5" t="s">
        <v>235</v>
      </c>
      <c r="D896" s="5" t="str">
        <f>"Q"&amp;ROUNDUP(MONTH(B896)/3,0)</f>
        <v>Q3</v>
      </c>
      <c r="E896" t="s">
        <v>23</v>
      </c>
      <c r="F896" t="s">
        <v>22</v>
      </c>
      <c r="G896" t="s">
        <v>104</v>
      </c>
      <c r="H896" t="s">
        <v>20</v>
      </c>
      <c r="I896" t="s">
        <v>19</v>
      </c>
      <c r="J896" s="4">
        <v>6</v>
      </c>
      <c r="K896" s="3">
        <v>27.32</v>
      </c>
      <c r="L896">
        <v>0</v>
      </c>
      <c r="M896" s="2">
        <v>163.92</v>
      </c>
      <c r="N896" s="2">
        <v>139.19</v>
      </c>
      <c r="O896" s="2">
        <v>24.73</v>
      </c>
      <c r="P896" s="1">
        <f>(Sales_Data[[#This Row],[Profit]]/Sales_Data[[#This Row],[Revenue]])</f>
        <v>0.15086627623230844</v>
      </c>
    </row>
    <row r="897" spans="1:16" x14ac:dyDescent="0.35">
      <c r="A897" t="s">
        <v>269</v>
      </c>
      <c r="B897" s="5" t="s">
        <v>268</v>
      </c>
      <c r="C897" s="5" t="s">
        <v>235</v>
      </c>
      <c r="D897" s="5" t="str">
        <f>"Q"&amp;ROUNDUP(MONTH(B897)/3,0)</f>
        <v>Q3</v>
      </c>
      <c r="E897" t="s">
        <v>36</v>
      </c>
      <c r="F897" t="s">
        <v>11</v>
      </c>
      <c r="G897" t="s">
        <v>142</v>
      </c>
      <c r="H897" t="s">
        <v>20</v>
      </c>
      <c r="I897" t="s">
        <v>19</v>
      </c>
      <c r="J897" s="4">
        <v>5</v>
      </c>
      <c r="K897" s="3">
        <v>27.55</v>
      </c>
      <c r="L897">
        <v>0</v>
      </c>
      <c r="M897" s="2">
        <v>137.75</v>
      </c>
      <c r="N897" s="2">
        <v>114.55</v>
      </c>
      <c r="O897" s="2">
        <v>23.2</v>
      </c>
      <c r="P897" s="1">
        <f>(Sales_Data[[#This Row],[Profit]]/Sales_Data[[#This Row],[Revenue]])</f>
        <v>0.16842105263157894</v>
      </c>
    </row>
    <row r="898" spans="1:16" x14ac:dyDescent="0.35">
      <c r="A898" t="s">
        <v>267</v>
      </c>
      <c r="B898" s="5" t="s">
        <v>262</v>
      </c>
      <c r="C898" s="5" t="s">
        <v>235</v>
      </c>
      <c r="D898" s="5" t="str">
        <f>"Q"&amp;ROUNDUP(MONTH(B898)/3,0)</f>
        <v>Q3</v>
      </c>
      <c r="E898" t="s">
        <v>36</v>
      </c>
      <c r="F898" t="s">
        <v>11</v>
      </c>
      <c r="G898" t="s">
        <v>71</v>
      </c>
      <c r="H898" t="s">
        <v>1</v>
      </c>
      <c r="I898" t="s">
        <v>0</v>
      </c>
      <c r="J898" s="4">
        <v>6</v>
      </c>
      <c r="K898" s="3">
        <v>532.58000000000004</v>
      </c>
      <c r="L898">
        <v>0</v>
      </c>
      <c r="M898" s="2">
        <v>3195.48</v>
      </c>
      <c r="N898" s="2">
        <v>2018.06</v>
      </c>
      <c r="O898" s="2">
        <v>1177.42</v>
      </c>
      <c r="P898" s="1">
        <f>(Sales_Data[[#This Row],[Profit]]/Sales_Data[[#This Row],[Revenue]])</f>
        <v>0.36846420569053789</v>
      </c>
    </row>
    <row r="899" spans="1:16" x14ac:dyDescent="0.35">
      <c r="A899" t="s">
        <v>266</v>
      </c>
      <c r="B899" s="5" t="s">
        <v>265</v>
      </c>
      <c r="C899" s="5" t="s">
        <v>235</v>
      </c>
      <c r="D899" s="5" t="str">
        <f>"Q"&amp;ROUNDUP(MONTH(B899)/3,0)</f>
        <v>Q3</v>
      </c>
      <c r="E899" t="s">
        <v>16</v>
      </c>
      <c r="F899" t="s">
        <v>3</v>
      </c>
      <c r="G899" t="s">
        <v>264</v>
      </c>
      <c r="H899" t="s">
        <v>45</v>
      </c>
      <c r="I899" t="s">
        <v>8</v>
      </c>
      <c r="J899" s="4">
        <v>1</v>
      </c>
      <c r="K899" s="3">
        <v>869.66</v>
      </c>
      <c r="L899">
        <v>0</v>
      </c>
      <c r="M899" s="2">
        <v>869.66</v>
      </c>
      <c r="N899" s="2">
        <v>503.12</v>
      </c>
      <c r="O899" s="2">
        <v>366.54</v>
      </c>
      <c r="P899" s="1">
        <f>(Sales_Data[[#This Row],[Profit]]/Sales_Data[[#This Row],[Revenue]])</f>
        <v>0.42147505921854522</v>
      </c>
    </row>
    <row r="900" spans="1:16" x14ac:dyDescent="0.35">
      <c r="A900" t="s">
        <v>263</v>
      </c>
      <c r="B900" s="5" t="s">
        <v>262</v>
      </c>
      <c r="C900" s="5" t="s">
        <v>235</v>
      </c>
      <c r="D900" s="5" t="str">
        <f>"Q"&amp;ROUNDUP(MONTH(B900)/3,0)</f>
        <v>Q3</v>
      </c>
      <c r="E900" t="s">
        <v>16</v>
      </c>
      <c r="F900" t="s">
        <v>63</v>
      </c>
      <c r="G900" t="s">
        <v>60</v>
      </c>
      <c r="H900" t="s">
        <v>20</v>
      </c>
      <c r="I900" t="s">
        <v>19</v>
      </c>
      <c r="J900" s="4">
        <v>8</v>
      </c>
      <c r="K900" s="3">
        <v>32.01</v>
      </c>
      <c r="L900">
        <v>0</v>
      </c>
      <c r="M900" s="2">
        <v>256.08</v>
      </c>
      <c r="N900" s="2">
        <v>157.74</v>
      </c>
      <c r="O900" s="2">
        <v>98.34</v>
      </c>
      <c r="P900" s="1">
        <f>(Sales_Data[[#This Row],[Profit]]/Sales_Data[[#This Row],[Revenue]])</f>
        <v>0.38402061855670105</v>
      </c>
    </row>
    <row r="901" spans="1:16" x14ac:dyDescent="0.35">
      <c r="A901" t="s">
        <v>261</v>
      </c>
      <c r="B901" s="5" t="s">
        <v>256</v>
      </c>
      <c r="C901" s="5" t="s">
        <v>235</v>
      </c>
      <c r="D901" s="5" t="str">
        <f>"Q"&amp;ROUNDUP(MONTH(B901)/3,0)</f>
        <v>Q3</v>
      </c>
      <c r="E901" t="s">
        <v>16</v>
      </c>
      <c r="F901" t="s">
        <v>22</v>
      </c>
      <c r="G901" t="s">
        <v>112</v>
      </c>
      <c r="H901" t="s">
        <v>9</v>
      </c>
      <c r="I901" t="s">
        <v>8</v>
      </c>
      <c r="J901" s="4">
        <v>8</v>
      </c>
      <c r="K901" s="3">
        <v>65358.14</v>
      </c>
      <c r="L901">
        <v>0</v>
      </c>
      <c r="M901" s="2">
        <v>522865.12</v>
      </c>
      <c r="N901" s="2">
        <v>297192.38</v>
      </c>
      <c r="O901" s="2">
        <v>225672.74</v>
      </c>
      <c r="P901" s="1">
        <f>(Sales_Data[[#This Row],[Profit]]/Sales_Data[[#This Row],[Revenue]])</f>
        <v>0.43160794508534056</v>
      </c>
    </row>
    <row r="902" spans="1:16" x14ac:dyDescent="0.35">
      <c r="A902" t="s">
        <v>260</v>
      </c>
      <c r="B902" s="5" t="s">
        <v>251</v>
      </c>
      <c r="C902" s="5" t="s">
        <v>235</v>
      </c>
      <c r="D902" s="5" t="str">
        <f>"Q"&amp;ROUNDUP(MONTH(B902)/3,0)</f>
        <v>Q3</v>
      </c>
      <c r="E902" t="s">
        <v>36</v>
      </c>
      <c r="F902" t="s">
        <v>56</v>
      </c>
      <c r="G902" t="s">
        <v>21</v>
      </c>
      <c r="H902" t="s">
        <v>45</v>
      </c>
      <c r="I902" t="s">
        <v>8</v>
      </c>
      <c r="J902" s="4">
        <v>2</v>
      </c>
      <c r="K902" s="3">
        <v>854.43</v>
      </c>
      <c r="L902">
        <v>0</v>
      </c>
      <c r="M902" s="2">
        <v>1708.86</v>
      </c>
      <c r="N902" s="2">
        <v>944.63</v>
      </c>
      <c r="O902" s="2">
        <v>764.23</v>
      </c>
      <c r="P902" s="1">
        <f>(Sales_Data[[#This Row],[Profit]]/Sales_Data[[#This Row],[Revenue]])</f>
        <v>0.44721627283686205</v>
      </c>
    </row>
    <row r="903" spans="1:16" x14ac:dyDescent="0.35">
      <c r="A903" t="s">
        <v>259</v>
      </c>
      <c r="B903" s="5" t="s">
        <v>239</v>
      </c>
      <c r="C903" s="5" t="s">
        <v>235</v>
      </c>
      <c r="D903" s="5" t="str">
        <f>"Q"&amp;ROUNDUP(MONTH(B903)/3,0)</f>
        <v>Q3</v>
      </c>
      <c r="E903" t="s">
        <v>36</v>
      </c>
      <c r="F903" t="s">
        <v>52</v>
      </c>
      <c r="G903" t="s">
        <v>231</v>
      </c>
      <c r="H903" t="s">
        <v>45</v>
      </c>
      <c r="I903" t="s">
        <v>8</v>
      </c>
      <c r="J903" s="4">
        <v>7</v>
      </c>
      <c r="K903" s="3">
        <v>928.48</v>
      </c>
      <c r="L903">
        <v>0</v>
      </c>
      <c r="M903" s="2">
        <v>6499.36</v>
      </c>
      <c r="N903" s="2">
        <v>3611.44</v>
      </c>
      <c r="O903" s="2">
        <v>2887.92</v>
      </c>
      <c r="P903" s="1">
        <f>(Sales_Data[[#This Row],[Profit]]/Sales_Data[[#This Row],[Revenue]])</f>
        <v>0.44433913493020855</v>
      </c>
    </row>
    <row r="904" spans="1:16" x14ac:dyDescent="0.35">
      <c r="A904" t="s">
        <v>258</v>
      </c>
      <c r="B904" s="5" t="s">
        <v>241</v>
      </c>
      <c r="C904" s="5" t="s">
        <v>235</v>
      </c>
      <c r="D904" s="5" t="str">
        <f>"Q"&amp;ROUNDUP(MONTH(B904)/3,0)</f>
        <v>Q3</v>
      </c>
      <c r="E904" t="s">
        <v>36</v>
      </c>
      <c r="F904" t="s">
        <v>56</v>
      </c>
      <c r="G904" t="s">
        <v>82</v>
      </c>
      <c r="H904" t="s">
        <v>34</v>
      </c>
      <c r="I904" t="s">
        <v>8</v>
      </c>
      <c r="J904" s="4">
        <v>7</v>
      </c>
      <c r="K904" s="3">
        <v>26730.54</v>
      </c>
      <c r="L904">
        <v>0</v>
      </c>
      <c r="M904" s="2">
        <v>187113.78</v>
      </c>
      <c r="N904" s="2">
        <v>137386.69</v>
      </c>
      <c r="O904" s="2">
        <v>49727.09</v>
      </c>
      <c r="P904" s="1">
        <f>(Sales_Data[[#This Row],[Profit]]/Sales_Data[[#This Row],[Revenue]])</f>
        <v>0.26575856679288934</v>
      </c>
    </row>
    <row r="905" spans="1:16" x14ac:dyDescent="0.35">
      <c r="A905" t="s">
        <v>257</v>
      </c>
      <c r="B905" s="5" t="s">
        <v>256</v>
      </c>
      <c r="C905" s="5" t="s">
        <v>235</v>
      </c>
      <c r="D905" s="5" t="str">
        <f>"Q"&amp;ROUNDUP(MONTH(B905)/3,0)</f>
        <v>Q3</v>
      </c>
      <c r="E905" t="s">
        <v>23</v>
      </c>
      <c r="F905" t="s">
        <v>63</v>
      </c>
      <c r="G905" t="s">
        <v>255</v>
      </c>
      <c r="H905" t="s">
        <v>14</v>
      </c>
      <c r="I905" t="s">
        <v>8</v>
      </c>
      <c r="J905" s="4">
        <v>3</v>
      </c>
      <c r="K905" s="3">
        <v>2357.67</v>
      </c>
      <c r="L905">
        <v>0</v>
      </c>
      <c r="M905" s="2">
        <v>7073.01</v>
      </c>
      <c r="N905" s="2">
        <v>5205.76</v>
      </c>
      <c r="O905" s="2">
        <v>1867.25</v>
      </c>
      <c r="P905" s="1">
        <f>(Sales_Data[[#This Row],[Profit]]/Sales_Data[[#This Row],[Revenue]])</f>
        <v>0.26399651633462978</v>
      </c>
    </row>
    <row r="906" spans="1:16" x14ac:dyDescent="0.35">
      <c r="A906" t="s">
        <v>254</v>
      </c>
      <c r="B906" s="5" t="s">
        <v>253</v>
      </c>
      <c r="C906" s="5" t="s">
        <v>235</v>
      </c>
      <c r="D906" s="5" t="str">
        <f>"Q"&amp;ROUNDUP(MONTH(B906)/3,0)</f>
        <v>Q3</v>
      </c>
      <c r="E906" t="s">
        <v>4</v>
      </c>
      <c r="F906" t="s">
        <v>56</v>
      </c>
      <c r="G906" t="s">
        <v>101</v>
      </c>
      <c r="H906" t="s">
        <v>59</v>
      </c>
      <c r="I906" t="s">
        <v>0</v>
      </c>
      <c r="J906" s="4">
        <v>4</v>
      </c>
      <c r="K906" s="3">
        <v>1423.87</v>
      </c>
      <c r="L906">
        <v>0</v>
      </c>
      <c r="M906" s="2">
        <v>5695.48</v>
      </c>
      <c r="N906" s="2">
        <v>4673.59</v>
      </c>
      <c r="O906" s="2">
        <v>1021.89</v>
      </c>
      <c r="P906" s="1">
        <f>(Sales_Data[[#This Row],[Profit]]/Sales_Data[[#This Row],[Revenue]])</f>
        <v>0.17942122525230536</v>
      </c>
    </row>
    <row r="907" spans="1:16" x14ac:dyDescent="0.35">
      <c r="A907" t="s">
        <v>252</v>
      </c>
      <c r="B907" s="5" t="s">
        <v>251</v>
      </c>
      <c r="C907" s="5" t="s">
        <v>235</v>
      </c>
      <c r="D907" s="5" t="str">
        <f>"Q"&amp;ROUNDUP(MONTH(B907)/3,0)</f>
        <v>Q3</v>
      </c>
      <c r="E907" t="s">
        <v>4</v>
      </c>
      <c r="F907" t="s">
        <v>63</v>
      </c>
      <c r="G907" t="s">
        <v>128</v>
      </c>
      <c r="H907" t="s">
        <v>50</v>
      </c>
      <c r="I907" t="s">
        <v>49</v>
      </c>
      <c r="J907" s="4">
        <v>2</v>
      </c>
      <c r="K907" s="3">
        <v>4649.75</v>
      </c>
      <c r="L907">
        <v>0</v>
      </c>
      <c r="M907" s="2">
        <v>9299.5</v>
      </c>
      <c r="N907" s="2">
        <v>5414.08</v>
      </c>
      <c r="O907" s="2">
        <v>3885.42</v>
      </c>
      <c r="P907" s="1">
        <f>(Sales_Data[[#This Row],[Profit]]/Sales_Data[[#This Row],[Revenue]])</f>
        <v>0.41780955965374483</v>
      </c>
    </row>
    <row r="908" spans="1:16" x14ac:dyDescent="0.35">
      <c r="A908" t="s">
        <v>250</v>
      </c>
      <c r="B908" s="5" t="s">
        <v>249</v>
      </c>
      <c r="C908" s="5" t="s">
        <v>235</v>
      </c>
      <c r="D908" s="5" t="str">
        <f>"Q"&amp;ROUNDUP(MONTH(B908)/3,0)</f>
        <v>Q3</v>
      </c>
      <c r="E908" t="s">
        <v>36</v>
      </c>
      <c r="F908" t="s">
        <v>11</v>
      </c>
      <c r="G908" t="s">
        <v>60</v>
      </c>
      <c r="H908" t="s">
        <v>20</v>
      </c>
      <c r="I908" t="s">
        <v>19</v>
      </c>
      <c r="J908" s="4">
        <v>5</v>
      </c>
      <c r="K908" s="3">
        <v>30.02</v>
      </c>
      <c r="L908">
        <v>0</v>
      </c>
      <c r="M908" s="2">
        <v>150.1</v>
      </c>
      <c r="N908" s="2">
        <v>99.82</v>
      </c>
      <c r="O908" s="2">
        <v>50.28</v>
      </c>
      <c r="P908" s="1">
        <f>(Sales_Data[[#This Row],[Profit]]/Sales_Data[[#This Row],[Revenue]])</f>
        <v>0.33497668221185878</v>
      </c>
    </row>
    <row r="909" spans="1:16" x14ac:dyDescent="0.35">
      <c r="A909" t="s">
        <v>248</v>
      </c>
      <c r="B909" s="5" t="s">
        <v>247</v>
      </c>
      <c r="C909" s="5" t="s">
        <v>235</v>
      </c>
      <c r="D909" s="5" t="str">
        <f>"Q"&amp;ROUNDUP(MONTH(B909)/3,0)</f>
        <v>Q3</v>
      </c>
      <c r="E909" t="s">
        <v>4</v>
      </c>
      <c r="F909" t="s">
        <v>63</v>
      </c>
      <c r="G909" t="s">
        <v>42</v>
      </c>
      <c r="H909" t="s">
        <v>78</v>
      </c>
      <c r="I909" t="s">
        <v>19</v>
      </c>
      <c r="J909" s="4">
        <v>1</v>
      </c>
      <c r="K909" s="3">
        <v>111.11</v>
      </c>
      <c r="L909">
        <v>0</v>
      </c>
      <c r="M909" s="2">
        <v>111.11</v>
      </c>
      <c r="N909" s="2">
        <v>69.61</v>
      </c>
      <c r="O909" s="2">
        <v>41.5</v>
      </c>
      <c r="P909" s="1">
        <f>(Sales_Data[[#This Row],[Profit]]/Sales_Data[[#This Row],[Revenue]])</f>
        <v>0.37350373503735035</v>
      </c>
    </row>
    <row r="910" spans="1:16" x14ac:dyDescent="0.35">
      <c r="A910" t="s">
        <v>246</v>
      </c>
      <c r="B910" s="5" t="s">
        <v>245</v>
      </c>
      <c r="C910" s="5" t="s">
        <v>235</v>
      </c>
      <c r="D910" s="5" t="str">
        <f>"Q"&amp;ROUNDUP(MONTH(B910)/3,0)</f>
        <v>Q3</v>
      </c>
      <c r="E910" t="s">
        <v>36</v>
      </c>
      <c r="F910" t="s">
        <v>63</v>
      </c>
      <c r="G910" t="s">
        <v>46</v>
      </c>
      <c r="H910" t="s">
        <v>20</v>
      </c>
      <c r="I910" t="s">
        <v>19</v>
      </c>
      <c r="J910" s="4">
        <v>2</v>
      </c>
      <c r="K910" s="3">
        <v>32.020000000000003</v>
      </c>
      <c r="L910">
        <v>0</v>
      </c>
      <c r="M910" s="2">
        <v>64.040000000000006</v>
      </c>
      <c r="N910" s="2">
        <v>38.56</v>
      </c>
      <c r="O910" s="2">
        <v>25.48</v>
      </c>
      <c r="P910" s="1">
        <f>(Sales_Data[[#This Row],[Profit]]/Sales_Data[[#This Row],[Revenue]])</f>
        <v>0.39787632729544031</v>
      </c>
    </row>
    <row r="911" spans="1:16" x14ac:dyDescent="0.35">
      <c r="A911" t="s">
        <v>244</v>
      </c>
      <c r="B911" s="5" t="s">
        <v>243</v>
      </c>
      <c r="C911" s="5" t="s">
        <v>235</v>
      </c>
      <c r="D911" s="5" t="str">
        <f>"Q"&amp;ROUNDUP(MONTH(B911)/3,0)</f>
        <v>Q3</v>
      </c>
      <c r="E911" t="s">
        <v>16</v>
      </c>
      <c r="F911" t="s">
        <v>52</v>
      </c>
      <c r="G911" t="s">
        <v>31</v>
      </c>
      <c r="H911" t="s">
        <v>78</v>
      </c>
      <c r="I911" t="s">
        <v>19</v>
      </c>
      <c r="J911" s="4">
        <v>7</v>
      </c>
      <c r="K911" s="3">
        <v>124.35</v>
      </c>
      <c r="L911">
        <v>0</v>
      </c>
      <c r="M911" s="2">
        <v>870.45</v>
      </c>
      <c r="N911" s="2">
        <v>667.98</v>
      </c>
      <c r="O911" s="2">
        <v>202.47</v>
      </c>
      <c r="P911" s="1">
        <f>(Sales_Data[[#This Row],[Profit]]/Sales_Data[[#This Row],[Revenue]])</f>
        <v>0.23260382560744441</v>
      </c>
    </row>
    <row r="912" spans="1:16" x14ac:dyDescent="0.35">
      <c r="A912" t="s">
        <v>242</v>
      </c>
      <c r="B912" s="5" t="s">
        <v>241</v>
      </c>
      <c r="C912" s="5" t="s">
        <v>235</v>
      </c>
      <c r="D912" s="5" t="str">
        <f>"Q"&amp;ROUNDUP(MONTH(B912)/3,0)</f>
        <v>Q3</v>
      </c>
      <c r="E912" t="s">
        <v>23</v>
      </c>
      <c r="F912" t="s">
        <v>11</v>
      </c>
      <c r="G912" t="s">
        <v>101</v>
      </c>
      <c r="H912" t="s">
        <v>9</v>
      </c>
      <c r="I912" t="s">
        <v>8</v>
      </c>
      <c r="J912" s="4">
        <v>1</v>
      </c>
      <c r="K912" s="3">
        <v>56940.03</v>
      </c>
      <c r="L912">
        <v>0</v>
      </c>
      <c r="M912" s="2">
        <v>56940.03</v>
      </c>
      <c r="N912" s="2">
        <v>31477.73</v>
      </c>
      <c r="O912" s="2">
        <v>25462.3</v>
      </c>
      <c r="P912" s="1">
        <f>(Sales_Data[[#This Row],[Profit]]/Sales_Data[[#This Row],[Revenue]])</f>
        <v>0.4471774953402729</v>
      </c>
    </row>
    <row r="913" spans="1:16" x14ac:dyDescent="0.35">
      <c r="A913" t="s">
        <v>240</v>
      </c>
      <c r="B913" s="5" t="s">
        <v>239</v>
      </c>
      <c r="C913" s="5" t="s">
        <v>235</v>
      </c>
      <c r="D913" s="5" t="str">
        <f>"Q"&amp;ROUNDUP(MONTH(B913)/3,0)</f>
        <v>Q3</v>
      </c>
      <c r="E913" t="s">
        <v>4</v>
      </c>
      <c r="F913" t="s">
        <v>11</v>
      </c>
      <c r="G913" t="s">
        <v>238</v>
      </c>
      <c r="H913" t="s">
        <v>14</v>
      </c>
      <c r="I913" t="s">
        <v>8</v>
      </c>
      <c r="J913" s="4">
        <v>2</v>
      </c>
      <c r="K913" s="3">
        <v>2307.0700000000002</v>
      </c>
      <c r="L913">
        <v>0</v>
      </c>
      <c r="M913" s="2">
        <v>4614.1400000000003</v>
      </c>
      <c r="N913" s="2">
        <v>3012.05</v>
      </c>
      <c r="O913" s="2">
        <v>1602.09</v>
      </c>
      <c r="P913" s="1">
        <f>(Sales_Data[[#This Row],[Profit]]/Sales_Data[[#This Row],[Revenue]])</f>
        <v>0.3472131318078775</v>
      </c>
    </row>
    <row r="914" spans="1:16" x14ac:dyDescent="0.35">
      <c r="A914" t="s">
        <v>237</v>
      </c>
      <c r="B914" s="5" t="s">
        <v>236</v>
      </c>
      <c r="C914" s="5" t="s">
        <v>235</v>
      </c>
      <c r="D914" s="5" t="str">
        <f>"Q"&amp;ROUNDUP(MONTH(B914)/3,0)</f>
        <v>Q3</v>
      </c>
      <c r="E914" t="s">
        <v>36</v>
      </c>
      <c r="F914" t="s">
        <v>52</v>
      </c>
      <c r="G914" t="s">
        <v>214</v>
      </c>
      <c r="H914" t="s">
        <v>50</v>
      </c>
      <c r="I914" t="s">
        <v>49</v>
      </c>
      <c r="J914" s="4">
        <v>5</v>
      </c>
      <c r="K914" s="3">
        <v>4188.3900000000003</v>
      </c>
      <c r="L914">
        <v>0</v>
      </c>
      <c r="M914" s="2">
        <v>20941.95</v>
      </c>
      <c r="N914" s="2">
        <v>14075.34</v>
      </c>
      <c r="O914" s="2">
        <v>6866.61</v>
      </c>
      <c r="P914" s="1">
        <f>(Sales_Data[[#This Row],[Profit]]/Sales_Data[[#This Row],[Revenue]])</f>
        <v>0.32788780414431318</v>
      </c>
    </row>
    <row r="915" spans="1:16" x14ac:dyDescent="0.35">
      <c r="A915" t="s">
        <v>234</v>
      </c>
      <c r="B915" s="5" t="s">
        <v>233</v>
      </c>
      <c r="C915" s="5" t="s">
        <v>217</v>
      </c>
      <c r="D915" s="5" t="str">
        <f>"Q"&amp;ROUNDUP(MONTH(B915)/3,0)</f>
        <v>Q2</v>
      </c>
      <c r="E915" t="s">
        <v>36</v>
      </c>
      <c r="F915" t="s">
        <v>11</v>
      </c>
      <c r="G915" t="s">
        <v>191</v>
      </c>
      <c r="H915" t="s">
        <v>14</v>
      </c>
      <c r="I915" t="s">
        <v>8</v>
      </c>
      <c r="J915" s="4">
        <v>1</v>
      </c>
      <c r="K915" s="3">
        <v>2419.59</v>
      </c>
      <c r="L915">
        <v>0</v>
      </c>
      <c r="M915" s="2">
        <v>2419.59</v>
      </c>
      <c r="N915" s="2">
        <v>1765.33</v>
      </c>
      <c r="O915" s="2">
        <v>654.26</v>
      </c>
      <c r="P915" s="1">
        <f>(Sales_Data[[#This Row],[Profit]]/Sales_Data[[#This Row],[Revenue]])</f>
        <v>0.27040118367161375</v>
      </c>
    </row>
    <row r="916" spans="1:16" x14ac:dyDescent="0.35">
      <c r="A916" t="s">
        <v>232</v>
      </c>
      <c r="B916" s="5" t="s">
        <v>223</v>
      </c>
      <c r="C916" s="5" t="s">
        <v>217</v>
      </c>
      <c r="D916" s="5" t="str">
        <f>"Q"&amp;ROUNDUP(MONTH(B916)/3,0)</f>
        <v>Q2</v>
      </c>
      <c r="E916" t="s">
        <v>4</v>
      </c>
      <c r="F916" t="s">
        <v>22</v>
      </c>
      <c r="G916" t="s">
        <v>231</v>
      </c>
      <c r="H916" t="s">
        <v>50</v>
      </c>
      <c r="I916" t="s">
        <v>49</v>
      </c>
      <c r="J916" s="4">
        <v>3</v>
      </c>
      <c r="K916" s="3">
        <v>4613.74</v>
      </c>
      <c r="L916">
        <v>0</v>
      </c>
      <c r="M916" s="2">
        <v>13841.22</v>
      </c>
      <c r="N916" s="2">
        <v>10087.290000000001</v>
      </c>
      <c r="O916" s="2">
        <v>3753.93</v>
      </c>
      <c r="P916" s="1">
        <f>(Sales_Data[[#This Row],[Profit]]/Sales_Data[[#This Row],[Revenue]])</f>
        <v>0.27121380918734045</v>
      </c>
    </row>
    <row r="917" spans="1:16" x14ac:dyDescent="0.35">
      <c r="A917" t="s">
        <v>230</v>
      </c>
      <c r="B917" s="5" t="s">
        <v>229</v>
      </c>
      <c r="C917" s="5" t="s">
        <v>217</v>
      </c>
      <c r="D917" s="5" t="str">
        <f>"Q"&amp;ROUNDUP(MONTH(B917)/3,0)</f>
        <v>Q2</v>
      </c>
      <c r="E917" t="s">
        <v>16</v>
      </c>
      <c r="F917" t="s">
        <v>52</v>
      </c>
      <c r="G917" t="s">
        <v>112</v>
      </c>
      <c r="H917" t="s">
        <v>78</v>
      </c>
      <c r="I917" t="s">
        <v>19</v>
      </c>
      <c r="J917" s="4">
        <v>3</v>
      </c>
      <c r="K917" s="3">
        <v>121.27</v>
      </c>
      <c r="L917">
        <v>0</v>
      </c>
      <c r="M917" s="2">
        <v>363.81</v>
      </c>
      <c r="N917" s="2">
        <v>297.88</v>
      </c>
      <c r="O917" s="2">
        <v>65.930000000000007</v>
      </c>
      <c r="P917" s="1">
        <f>(Sales_Data[[#This Row],[Profit]]/Sales_Data[[#This Row],[Revenue]])</f>
        <v>0.18122096698826312</v>
      </c>
    </row>
    <row r="918" spans="1:16" x14ac:dyDescent="0.35">
      <c r="A918" t="s">
        <v>228</v>
      </c>
      <c r="B918" s="5" t="s">
        <v>227</v>
      </c>
      <c r="C918" s="5" t="s">
        <v>217</v>
      </c>
      <c r="D918" s="5" t="str">
        <f>"Q"&amp;ROUNDUP(MONTH(B918)/3,0)</f>
        <v>Q2</v>
      </c>
      <c r="E918" t="s">
        <v>4</v>
      </c>
      <c r="F918" t="s">
        <v>63</v>
      </c>
      <c r="G918" t="s">
        <v>112</v>
      </c>
      <c r="H918" t="s">
        <v>50</v>
      </c>
      <c r="I918" t="s">
        <v>49</v>
      </c>
      <c r="J918" s="4">
        <v>7</v>
      </c>
      <c r="K918" s="3">
        <v>4462.5600000000004</v>
      </c>
      <c r="L918">
        <v>0</v>
      </c>
      <c r="M918" s="2">
        <v>31237.919999999998</v>
      </c>
      <c r="N918" s="2">
        <v>22980.62</v>
      </c>
      <c r="O918" s="2">
        <v>8257.2999999999993</v>
      </c>
      <c r="P918" s="1">
        <f>(Sales_Data[[#This Row],[Profit]]/Sales_Data[[#This Row],[Revenue]])</f>
        <v>0.26433578163975063</v>
      </c>
    </row>
    <row r="919" spans="1:16" x14ac:dyDescent="0.35">
      <c r="A919" t="s">
        <v>226</v>
      </c>
      <c r="B919" s="5" t="s">
        <v>225</v>
      </c>
      <c r="C919" s="5" t="s">
        <v>217</v>
      </c>
      <c r="D919" s="5" t="str">
        <f>"Q"&amp;ROUNDUP(MONTH(B919)/3,0)</f>
        <v>Q2</v>
      </c>
      <c r="E919" t="s">
        <v>36</v>
      </c>
      <c r="F919" t="s">
        <v>56</v>
      </c>
      <c r="G919" t="s">
        <v>75</v>
      </c>
      <c r="H919" t="s">
        <v>9</v>
      </c>
      <c r="I919" t="s">
        <v>8</v>
      </c>
      <c r="J919" s="4">
        <v>2</v>
      </c>
      <c r="K919" s="3">
        <v>54592.43</v>
      </c>
      <c r="L919">
        <v>0</v>
      </c>
      <c r="M919" s="2">
        <v>109184.86</v>
      </c>
      <c r="N919" s="2">
        <v>89597.66</v>
      </c>
      <c r="O919" s="2">
        <v>19587.2</v>
      </c>
      <c r="P919" s="1">
        <f>(Sales_Data[[#This Row],[Profit]]/Sales_Data[[#This Row],[Revenue]])</f>
        <v>0.17939483551107727</v>
      </c>
    </row>
    <row r="920" spans="1:16" x14ac:dyDescent="0.35">
      <c r="A920" t="s">
        <v>224</v>
      </c>
      <c r="B920" s="5" t="s">
        <v>223</v>
      </c>
      <c r="C920" s="5" t="s">
        <v>217</v>
      </c>
      <c r="D920" s="5" t="str">
        <f>"Q"&amp;ROUNDUP(MONTH(B920)/3,0)</f>
        <v>Q2</v>
      </c>
      <c r="E920" t="s">
        <v>16</v>
      </c>
      <c r="F920" t="s">
        <v>11</v>
      </c>
      <c r="G920" t="s">
        <v>124</v>
      </c>
      <c r="H920" t="s">
        <v>50</v>
      </c>
      <c r="I920" t="s">
        <v>49</v>
      </c>
      <c r="J920" s="4">
        <v>7</v>
      </c>
      <c r="K920" s="3">
        <v>4423.62</v>
      </c>
      <c r="L920">
        <v>0</v>
      </c>
      <c r="M920" s="2">
        <v>30965.34</v>
      </c>
      <c r="N920" s="2">
        <v>25831.17</v>
      </c>
      <c r="O920" s="2">
        <v>5134.17</v>
      </c>
      <c r="P920" s="1">
        <f>(Sales_Data[[#This Row],[Profit]]/Sales_Data[[#This Row],[Revenue]])</f>
        <v>0.16580376640463176</v>
      </c>
    </row>
    <row r="921" spans="1:16" x14ac:dyDescent="0.35">
      <c r="A921" t="s">
        <v>222</v>
      </c>
      <c r="B921" s="5" t="s">
        <v>221</v>
      </c>
      <c r="C921" s="5" t="s">
        <v>217</v>
      </c>
      <c r="D921" s="5" t="str">
        <f>"Q"&amp;ROUNDUP(MONTH(B921)/3,0)</f>
        <v>Q2</v>
      </c>
      <c r="E921" t="s">
        <v>36</v>
      </c>
      <c r="F921" t="s">
        <v>22</v>
      </c>
      <c r="G921" t="s">
        <v>220</v>
      </c>
      <c r="H921" t="s">
        <v>111</v>
      </c>
      <c r="I921" t="s">
        <v>49</v>
      </c>
      <c r="J921" s="4">
        <v>8</v>
      </c>
      <c r="K921" s="3">
        <v>7221.65</v>
      </c>
      <c r="L921">
        <v>0</v>
      </c>
      <c r="M921" s="2">
        <v>57773.2</v>
      </c>
      <c r="N921" s="2">
        <v>43087.92</v>
      </c>
      <c r="O921" s="2">
        <v>14685.28</v>
      </c>
      <c r="P921" s="1">
        <f>(Sales_Data[[#This Row],[Profit]]/Sales_Data[[#This Row],[Revenue]])</f>
        <v>0.25418844723851197</v>
      </c>
    </row>
    <row r="922" spans="1:16" x14ac:dyDescent="0.35">
      <c r="A922" t="s">
        <v>219</v>
      </c>
      <c r="B922" s="5" t="s">
        <v>218</v>
      </c>
      <c r="C922" s="5" t="s">
        <v>217</v>
      </c>
      <c r="D922" s="5" t="str">
        <f>"Q"&amp;ROUNDUP(MONTH(B922)/3,0)</f>
        <v>Q2</v>
      </c>
      <c r="E922" t="s">
        <v>4</v>
      </c>
      <c r="F922" t="s">
        <v>63</v>
      </c>
      <c r="G922" t="s">
        <v>159</v>
      </c>
      <c r="H922" t="s">
        <v>78</v>
      </c>
      <c r="I922" t="s">
        <v>19</v>
      </c>
      <c r="J922" s="4">
        <v>8</v>
      </c>
      <c r="K922" s="3">
        <v>130.97999999999999</v>
      </c>
      <c r="L922">
        <v>0</v>
      </c>
      <c r="M922" s="2">
        <v>1047.8399999999999</v>
      </c>
      <c r="N922" s="2">
        <v>719.03</v>
      </c>
      <c r="O922" s="2">
        <v>328.81</v>
      </c>
      <c r="P922" s="1">
        <f>(Sales_Data[[#This Row],[Profit]]/Sales_Data[[#This Row],[Revenue]])</f>
        <v>0.31379790807756913</v>
      </c>
    </row>
    <row r="923" spans="1:16" x14ac:dyDescent="0.35">
      <c r="A923" t="s">
        <v>216</v>
      </c>
      <c r="B923" s="5" t="s">
        <v>215</v>
      </c>
      <c r="C923" s="5" t="s">
        <v>184</v>
      </c>
      <c r="D923" s="5" t="str">
        <f>"Q"&amp;ROUNDUP(MONTH(B923)/3,0)</f>
        <v>Q1</v>
      </c>
      <c r="E923" t="s">
        <v>16</v>
      </c>
      <c r="F923" t="s">
        <v>56</v>
      </c>
      <c r="G923" t="s">
        <v>214</v>
      </c>
      <c r="H923" t="s">
        <v>45</v>
      </c>
      <c r="I923" t="s">
        <v>8</v>
      </c>
      <c r="J923" s="4">
        <v>6</v>
      </c>
      <c r="K923" s="3">
        <v>830.97</v>
      </c>
      <c r="L923">
        <v>0</v>
      </c>
      <c r="M923" s="2">
        <v>4985.82</v>
      </c>
      <c r="N923" s="2">
        <v>4038.56</v>
      </c>
      <c r="O923" s="2">
        <v>947.26</v>
      </c>
      <c r="P923" s="1">
        <f>(Sales_Data[[#This Row],[Profit]]/Sales_Data[[#This Row],[Revenue]])</f>
        <v>0.18999081394835754</v>
      </c>
    </row>
    <row r="924" spans="1:16" x14ac:dyDescent="0.35">
      <c r="A924" t="s">
        <v>213</v>
      </c>
      <c r="B924" s="5" t="s">
        <v>212</v>
      </c>
      <c r="C924" s="5" t="s">
        <v>184</v>
      </c>
      <c r="D924" s="5" t="str">
        <f>"Q"&amp;ROUNDUP(MONTH(B924)/3,0)</f>
        <v>Q1</v>
      </c>
      <c r="E924" t="s">
        <v>4</v>
      </c>
      <c r="F924" t="s">
        <v>11</v>
      </c>
      <c r="G924" t="s">
        <v>26</v>
      </c>
      <c r="H924" t="s">
        <v>50</v>
      </c>
      <c r="I924" t="s">
        <v>49</v>
      </c>
      <c r="J924" s="4">
        <v>6</v>
      </c>
      <c r="K924" s="3">
        <v>4169.29</v>
      </c>
      <c r="L924">
        <v>0</v>
      </c>
      <c r="M924" s="2">
        <v>25015.74</v>
      </c>
      <c r="N924" s="2">
        <v>18837.09</v>
      </c>
      <c r="O924" s="2">
        <v>6178.65</v>
      </c>
      <c r="P924" s="1">
        <f>(Sales_Data[[#This Row],[Profit]]/Sales_Data[[#This Row],[Revenue]])</f>
        <v>0.24699049478448365</v>
      </c>
    </row>
    <row r="925" spans="1:16" x14ac:dyDescent="0.35">
      <c r="A925" t="s">
        <v>211</v>
      </c>
      <c r="B925" s="5" t="s">
        <v>210</v>
      </c>
      <c r="C925" s="5" t="s">
        <v>184</v>
      </c>
      <c r="D925" s="5" t="str">
        <f>"Q"&amp;ROUNDUP(MONTH(B925)/3,0)</f>
        <v>Q1</v>
      </c>
      <c r="E925" t="s">
        <v>16</v>
      </c>
      <c r="F925" t="s">
        <v>22</v>
      </c>
      <c r="G925" t="s">
        <v>82</v>
      </c>
      <c r="H925" t="s">
        <v>20</v>
      </c>
      <c r="I925" t="s">
        <v>19</v>
      </c>
      <c r="J925" s="4">
        <v>5</v>
      </c>
      <c r="K925" s="3">
        <v>28</v>
      </c>
      <c r="L925">
        <v>0</v>
      </c>
      <c r="M925" s="2">
        <v>140</v>
      </c>
      <c r="N925" s="2">
        <v>97.78</v>
      </c>
      <c r="O925" s="2">
        <v>42.22</v>
      </c>
      <c r="P925" s="1">
        <f>(Sales_Data[[#This Row],[Profit]]/Sales_Data[[#This Row],[Revenue]])</f>
        <v>0.30157142857142855</v>
      </c>
    </row>
    <row r="926" spans="1:16" x14ac:dyDescent="0.35">
      <c r="A926" t="s">
        <v>209</v>
      </c>
      <c r="B926" s="5" t="s">
        <v>208</v>
      </c>
      <c r="C926" s="5" t="s">
        <v>184</v>
      </c>
      <c r="D926" s="5" t="str">
        <f>"Q"&amp;ROUNDUP(MONTH(B926)/3,0)</f>
        <v>Q1</v>
      </c>
      <c r="E926" t="s">
        <v>23</v>
      </c>
      <c r="F926" t="s">
        <v>3</v>
      </c>
      <c r="G926" t="s">
        <v>26</v>
      </c>
      <c r="H926" t="s">
        <v>9</v>
      </c>
      <c r="I926" t="s">
        <v>8</v>
      </c>
      <c r="J926" s="4">
        <v>5</v>
      </c>
      <c r="K926" s="3">
        <v>61038.97</v>
      </c>
      <c r="L926">
        <v>0</v>
      </c>
      <c r="M926" s="2">
        <v>305194.84999999998</v>
      </c>
      <c r="N926" s="2">
        <v>168531.46</v>
      </c>
      <c r="O926" s="2">
        <v>136663.39000000001</v>
      </c>
      <c r="P926" s="1">
        <f>(Sales_Data[[#This Row],[Profit]]/Sales_Data[[#This Row],[Revenue]])</f>
        <v>0.44779061638818618</v>
      </c>
    </row>
    <row r="927" spans="1:16" x14ac:dyDescent="0.35">
      <c r="A927" t="s">
        <v>207</v>
      </c>
      <c r="B927" s="5" t="s">
        <v>206</v>
      </c>
      <c r="C927" s="5" t="s">
        <v>184</v>
      </c>
      <c r="D927" s="5" t="str">
        <f>"Q"&amp;ROUNDUP(MONTH(B927)/3,0)</f>
        <v>Q1</v>
      </c>
      <c r="E927" t="s">
        <v>16</v>
      </c>
      <c r="F927" t="s">
        <v>11</v>
      </c>
      <c r="G927" t="s">
        <v>92</v>
      </c>
      <c r="H927" t="s">
        <v>1</v>
      </c>
      <c r="I927" t="s">
        <v>0</v>
      </c>
      <c r="J927" s="4">
        <v>7</v>
      </c>
      <c r="K927" s="3">
        <v>525.53</v>
      </c>
      <c r="L927">
        <v>0</v>
      </c>
      <c r="M927" s="2">
        <v>3678.71</v>
      </c>
      <c r="N927" s="2">
        <v>2794.84</v>
      </c>
      <c r="O927" s="2">
        <v>883.87</v>
      </c>
      <c r="P927" s="1">
        <f>(Sales_Data[[#This Row],[Profit]]/Sales_Data[[#This Row],[Revenue]])</f>
        <v>0.2402662889980455</v>
      </c>
    </row>
    <row r="928" spans="1:16" x14ac:dyDescent="0.35">
      <c r="A928" t="s">
        <v>205</v>
      </c>
      <c r="B928" s="5" t="s">
        <v>199</v>
      </c>
      <c r="C928" s="5" t="s">
        <v>184</v>
      </c>
      <c r="D928" s="5" t="str">
        <f>"Q"&amp;ROUNDUP(MONTH(B928)/3,0)</f>
        <v>Q1</v>
      </c>
      <c r="E928" t="s">
        <v>36</v>
      </c>
      <c r="F928" t="s">
        <v>56</v>
      </c>
      <c r="G928" t="s">
        <v>137</v>
      </c>
      <c r="H928" t="s">
        <v>1</v>
      </c>
      <c r="I928" t="s">
        <v>0</v>
      </c>
      <c r="J928" s="4">
        <v>1</v>
      </c>
      <c r="K928" s="3">
        <v>483.19</v>
      </c>
      <c r="L928">
        <v>0</v>
      </c>
      <c r="M928" s="2">
        <v>483.19</v>
      </c>
      <c r="N928" s="2">
        <v>365.9</v>
      </c>
      <c r="O928" s="2">
        <v>117.29</v>
      </c>
      <c r="P928" s="1">
        <f>(Sales_Data[[#This Row],[Profit]]/Sales_Data[[#This Row],[Revenue]])</f>
        <v>0.24274095076470956</v>
      </c>
    </row>
    <row r="929" spans="1:16" x14ac:dyDescent="0.35">
      <c r="A929" t="s">
        <v>204</v>
      </c>
      <c r="B929" s="5" t="s">
        <v>203</v>
      </c>
      <c r="C929" s="5" t="s">
        <v>184</v>
      </c>
      <c r="D929" s="5" t="str">
        <f>"Q"&amp;ROUNDUP(MONTH(B929)/3,0)</f>
        <v>Q1</v>
      </c>
      <c r="E929" t="s">
        <v>4</v>
      </c>
      <c r="F929" t="s">
        <v>11</v>
      </c>
      <c r="G929" t="s">
        <v>2</v>
      </c>
      <c r="H929" t="s">
        <v>111</v>
      </c>
      <c r="I929" t="s">
        <v>49</v>
      </c>
      <c r="J929" s="4">
        <v>5</v>
      </c>
      <c r="K929" s="3">
        <v>7978.57</v>
      </c>
      <c r="L929">
        <v>0</v>
      </c>
      <c r="M929" s="2">
        <v>39892.85</v>
      </c>
      <c r="N929" s="2">
        <v>29398.03</v>
      </c>
      <c r="O929" s="2">
        <v>10494.82</v>
      </c>
      <c r="P929" s="1">
        <f>(Sales_Data[[#This Row],[Profit]]/Sales_Data[[#This Row],[Revenue]])</f>
        <v>0.26307521272609002</v>
      </c>
    </row>
    <row r="930" spans="1:16" x14ac:dyDescent="0.35">
      <c r="A930" t="s">
        <v>202</v>
      </c>
      <c r="B930" s="5" t="s">
        <v>201</v>
      </c>
      <c r="C930" s="5" t="s">
        <v>184</v>
      </c>
      <c r="D930" s="5" t="str">
        <f>"Q"&amp;ROUNDUP(MONTH(B930)/3,0)</f>
        <v>Q1</v>
      </c>
      <c r="E930" t="s">
        <v>16</v>
      </c>
      <c r="F930" t="s">
        <v>63</v>
      </c>
      <c r="G930" t="s">
        <v>71</v>
      </c>
      <c r="H930" t="s">
        <v>59</v>
      </c>
      <c r="I930" t="s">
        <v>0</v>
      </c>
      <c r="J930" s="4">
        <v>1</v>
      </c>
      <c r="K930" s="3">
        <v>1424.7</v>
      </c>
      <c r="L930">
        <v>0</v>
      </c>
      <c r="M930" s="2">
        <v>1424.7</v>
      </c>
      <c r="N930" s="2">
        <v>1077.56</v>
      </c>
      <c r="O930" s="2">
        <v>347.14</v>
      </c>
      <c r="P930" s="1">
        <f>(Sales_Data[[#This Row],[Profit]]/Sales_Data[[#This Row],[Revenue]])</f>
        <v>0.24365831403102406</v>
      </c>
    </row>
    <row r="931" spans="1:16" x14ac:dyDescent="0.35">
      <c r="A931" t="s">
        <v>200</v>
      </c>
      <c r="B931" s="5" t="s">
        <v>199</v>
      </c>
      <c r="C931" s="5" t="s">
        <v>184</v>
      </c>
      <c r="D931" s="5" t="str">
        <f>"Q"&amp;ROUNDUP(MONTH(B931)/3,0)</f>
        <v>Q1</v>
      </c>
      <c r="E931" t="s">
        <v>16</v>
      </c>
      <c r="F931" t="s">
        <v>22</v>
      </c>
      <c r="G931" t="s">
        <v>147</v>
      </c>
      <c r="H931" t="s">
        <v>59</v>
      </c>
      <c r="I931" t="s">
        <v>0</v>
      </c>
      <c r="J931" s="4">
        <v>6</v>
      </c>
      <c r="K931" s="3">
        <v>1377.12</v>
      </c>
      <c r="L931">
        <v>0</v>
      </c>
      <c r="M931" s="2">
        <v>8262.7199999999993</v>
      </c>
      <c r="N931" s="2">
        <v>5438.03</v>
      </c>
      <c r="O931" s="2">
        <v>2824.69</v>
      </c>
      <c r="P931" s="1">
        <f>(Sales_Data[[#This Row],[Profit]]/Sales_Data[[#This Row],[Revenue]])</f>
        <v>0.3418595813485148</v>
      </c>
    </row>
    <row r="932" spans="1:16" x14ac:dyDescent="0.35">
      <c r="A932" t="s">
        <v>198</v>
      </c>
      <c r="B932" s="5" t="s">
        <v>197</v>
      </c>
      <c r="C932" s="5" t="s">
        <v>184</v>
      </c>
      <c r="D932" s="5" t="str">
        <f>"Q"&amp;ROUNDUP(MONTH(B932)/3,0)</f>
        <v>Q1</v>
      </c>
      <c r="E932" t="s">
        <v>36</v>
      </c>
      <c r="F932" t="s">
        <v>3</v>
      </c>
      <c r="G932" t="s">
        <v>159</v>
      </c>
      <c r="H932" t="s">
        <v>59</v>
      </c>
      <c r="I932" t="s">
        <v>0</v>
      </c>
      <c r="J932" s="4">
        <v>1</v>
      </c>
      <c r="K932" s="3">
        <v>1573.27</v>
      </c>
      <c r="L932">
        <v>0</v>
      </c>
      <c r="M932" s="2">
        <v>1573.27</v>
      </c>
      <c r="N932" s="2">
        <v>900.54</v>
      </c>
      <c r="O932" s="2">
        <v>672.73</v>
      </c>
      <c r="P932" s="1">
        <f>(Sales_Data[[#This Row],[Profit]]/Sales_Data[[#This Row],[Revenue]])</f>
        <v>0.42759983982406075</v>
      </c>
    </row>
    <row r="933" spans="1:16" x14ac:dyDescent="0.35">
      <c r="A933" t="s">
        <v>196</v>
      </c>
      <c r="B933" s="5" t="s">
        <v>195</v>
      </c>
      <c r="C933" s="5" t="s">
        <v>184</v>
      </c>
      <c r="D933" s="5" t="str">
        <f>"Q"&amp;ROUNDUP(MONTH(B933)/3,0)</f>
        <v>Q1</v>
      </c>
      <c r="E933" t="s">
        <v>36</v>
      </c>
      <c r="F933" t="s">
        <v>3</v>
      </c>
      <c r="G933" t="s">
        <v>169</v>
      </c>
      <c r="H933" t="s">
        <v>50</v>
      </c>
      <c r="I933" t="s">
        <v>49</v>
      </c>
      <c r="J933" s="4">
        <v>4</v>
      </c>
      <c r="K933" s="3">
        <v>4512.9399999999996</v>
      </c>
      <c r="L933">
        <v>0</v>
      </c>
      <c r="M933" s="2">
        <v>18051.759999999998</v>
      </c>
      <c r="N933" s="2">
        <v>15260.79</v>
      </c>
      <c r="O933" s="2">
        <v>2790.97</v>
      </c>
      <c r="P933" s="1">
        <f>(Sales_Data[[#This Row],[Profit]]/Sales_Data[[#This Row],[Revenue]])</f>
        <v>0.15460930125372818</v>
      </c>
    </row>
    <row r="934" spans="1:16" x14ac:dyDescent="0.35">
      <c r="A934" t="s">
        <v>194</v>
      </c>
      <c r="B934" s="5" t="s">
        <v>185</v>
      </c>
      <c r="C934" s="5" t="s">
        <v>184</v>
      </c>
      <c r="D934" s="5" t="str">
        <f>"Q"&amp;ROUNDUP(MONTH(B934)/3,0)</f>
        <v>Q1</v>
      </c>
      <c r="E934" t="s">
        <v>4</v>
      </c>
      <c r="F934" t="s">
        <v>11</v>
      </c>
      <c r="G934" t="s">
        <v>42</v>
      </c>
      <c r="H934" t="s">
        <v>34</v>
      </c>
      <c r="I934" t="s">
        <v>8</v>
      </c>
      <c r="J934" s="4">
        <v>4</v>
      </c>
      <c r="K934" s="3">
        <v>26994.57</v>
      </c>
      <c r="L934">
        <v>0</v>
      </c>
      <c r="M934" s="2">
        <v>107978.28</v>
      </c>
      <c r="N934" s="2">
        <v>59939.5</v>
      </c>
      <c r="O934" s="2">
        <v>48038.78</v>
      </c>
      <c r="P934" s="1">
        <f>(Sales_Data[[#This Row],[Profit]]/Sales_Data[[#This Row],[Revenue]])</f>
        <v>0.444892991442353</v>
      </c>
    </row>
    <row r="935" spans="1:16" x14ac:dyDescent="0.35">
      <c r="A935" t="s">
        <v>193</v>
      </c>
      <c r="B935" s="5" t="s">
        <v>192</v>
      </c>
      <c r="C935" s="5" t="s">
        <v>184</v>
      </c>
      <c r="D935" s="5" t="str">
        <f>"Q"&amp;ROUNDUP(MONTH(B935)/3,0)</f>
        <v>Q1</v>
      </c>
      <c r="E935" t="s">
        <v>4</v>
      </c>
      <c r="F935" t="s">
        <v>22</v>
      </c>
      <c r="G935" t="s">
        <v>191</v>
      </c>
      <c r="H935" t="s">
        <v>78</v>
      </c>
      <c r="I935" t="s">
        <v>19</v>
      </c>
      <c r="J935" s="4">
        <v>7</v>
      </c>
      <c r="K935" s="3">
        <v>111.05</v>
      </c>
      <c r="L935">
        <v>0</v>
      </c>
      <c r="M935" s="2">
        <v>777.35</v>
      </c>
      <c r="N935" s="2">
        <v>656.09</v>
      </c>
      <c r="O935" s="2">
        <v>121.26</v>
      </c>
      <c r="P935" s="1">
        <f>(Sales_Data[[#This Row],[Profit]]/Sales_Data[[#This Row],[Revenue]])</f>
        <v>0.15599150961600308</v>
      </c>
    </row>
    <row r="936" spans="1:16" x14ac:dyDescent="0.35">
      <c r="A936" t="s">
        <v>190</v>
      </c>
      <c r="B936" s="5" t="s">
        <v>189</v>
      </c>
      <c r="C936" s="5" t="s">
        <v>184</v>
      </c>
      <c r="D936" s="5" t="str">
        <f>"Q"&amp;ROUNDUP(MONTH(B936)/3,0)</f>
        <v>Q1</v>
      </c>
      <c r="E936" t="s">
        <v>23</v>
      </c>
      <c r="F936" t="s">
        <v>52</v>
      </c>
      <c r="G936" t="s">
        <v>142</v>
      </c>
      <c r="H936" t="s">
        <v>9</v>
      </c>
      <c r="I936" t="s">
        <v>8</v>
      </c>
      <c r="J936" s="4">
        <v>6</v>
      </c>
      <c r="K936" s="3">
        <v>61118.57</v>
      </c>
      <c r="L936">
        <v>0</v>
      </c>
      <c r="M936" s="2">
        <v>366711.42</v>
      </c>
      <c r="N936" s="2">
        <v>286201.40999999997</v>
      </c>
      <c r="O936" s="2">
        <v>80510.009999999995</v>
      </c>
      <c r="P936" s="1">
        <f>(Sales_Data[[#This Row],[Profit]]/Sales_Data[[#This Row],[Revenue]])</f>
        <v>0.21954595796334894</v>
      </c>
    </row>
    <row r="937" spans="1:16" x14ac:dyDescent="0.35">
      <c r="A937" t="s">
        <v>188</v>
      </c>
      <c r="B937" s="5" t="s">
        <v>187</v>
      </c>
      <c r="C937" s="5" t="s">
        <v>184</v>
      </c>
      <c r="D937" s="5" t="str">
        <f>"Q"&amp;ROUNDUP(MONTH(B937)/3,0)</f>
        <v>Q1</v>
      </c>
      <c r="E937" t="s">
        <v>4</v>
      </c>
      <c r="F937" t="s">
        <v>52</v>
      </c>
      <c r="G937" t="s">
        <v>142</v>
      </c>
      <c r="H937" t="s">
        <v>20</v>
      </c>
      <c r="I937" t="s">
        <v>19</v>
      </c>
      <c r="J937" s="4">
        <v>1</v>
      </c>
      <c r="K937" s="3">
        <v>30.07</v>
      </c>
      <c r="L937">
        <v>0</v>
      </c>
      <c r="M937" s="2">
        <v>30.07</v>
      </c>
      <c r="N937" s="2">
        <v>22.49</v>
      </c>
      <c r="O937" s="2">
        <v>7.58</v>
      </c>
      <c r="P937" s="1">
        <f>(Sales_Data[[#This Row],[Profit]]/Sales_Data[[#This Row],[Revenue]])</f>
        <v>0.25207848353841039</v>
      </c>
    </row>
    <row r="938" spans="1:16" x14ac:dyDescent="0.35">
      <c r="A938" t="s">
        <v>186</v>
      </c>
      <c r="B938" s="5" t="s">
        <v>185</v>
      </c>
      <c r="C938" s="5" t="s">
        <v>184</v>
      </c>
      <c r="D938" s="5" t="str">
        <f>"Q"&amp;ROUNDUP(MONTH(B938)/3,0)</f>
        <v>Q1</v>
      </c>
      <c r="E938" t="s">
        <v>36</v>
      </c>
      <c r="F938" t="s">
        <v>3</v>
      </c>
      <c r="G938" t="s">
        <v>101</v>
      </c>
      <c r="H938" t="s">
        <v>78</v>
      </c>
      <c r="I938" t="s">
        <v>19</v>
      </c>
      <c r="J938" s="4">
        <v>7</v>
      </c>
      <c r="K938" s="3">
        <v>114.61</v>
      </c>
      <c r="L938">
        <v>0</v>
      </c>
      <c r="M938" s="2">
        <v>802.27</v>
      </c>
      <c r="N938" s="2">
        <v>526.47</v>
      </c>
      <c r="O938" s="2">
        <v>275.8</v>
      </c>
      <c r="P938" s="1">
        <f>(Sales_Data[[#This Row],[Profit]]/Sales_Data[[#This Row],[Revenue]])</f>
        <v>0.34377453974347788</v>
      </c>
    </row>
    <row r="939" spans="1:16" x14ac:dyDescent="0.35">
      <c r="A939" t="s">
        <v>183</v>
      </c>
      <c r="B939" s="5" t="s">
        <v>170</v>
      </c>
      <c r="C939" s="5" t="s">
        <v>151</v>
      </c>
      <c r="D939" s="5" t="str">
        <f>"Q"&amp;ROUNDUP(MONTH(B939)/3,0)</f>
        <v>Q2</v>
      </c>
      <c r="E939" t="s">
        <v>36</v>
      </c>
      <c r="F939" t="s">
        <v>56</v>
      </c>
      <c r="G939" t="s">
        <v>60</v>
      </c>
      <c r="H939" t="s">
        <v>14</v>
      </c>
      <c r="I939" t="s">
        <v>8</v>
      </c>
      <c r="J939" s="4">
        <v>5</v>
      </c>
      <c r="K939" s="3">
        <v>2647.84</v>
      </c>
      <c r="L939">
        <v>0</v>
      </c>
      <c r="M939" s="2">
        <v>13239.2</v>
      </c>
      <c r="N939" s="2">
        <v>10347.030000000001</v>
      </c>
      <c r="O939" s="2">
        <v>2892.17</v>
      </c>
      <c r="P939" s="1">
        <f>(Sales_Data[[#This Row],[Profit]]/Sales_Data[[#This Row],[Revenue]])</f>
        <v>0.21845504260076137</v>
      </c>
    </row>
    <row r="940" spans="1:16" x14ac:dyDescent="0.35">
      <c r="A940" t="s">
        <v>182</v>
      </c>
      <c r="B940" s="5" t="s">
        <v>180</v>
      </c>
      <c r="C940" s="5" t="s">
        <v>151</v>
      </c>
      <c r="D940" s="5" t="str">
        <f>"Q"&amp;ROUNDUP(MONTH(B940)/3,0)</f>
        <v>Q2</v>
      </c>
      <c r="E940" t="s">
        <v>36</v>
      </c>
      <c r="F940" t="s">
        <v>22</v>
      </c>
      <c r="G940" t="s">
        <v>15</v>
      </c>
      <c r="H940" t="s">
        <v>45</v>
      </c>
      <c r="I940" t="s">
        <v>8</v>
      </c>
      <c r="J940" s="4">
        <v>3</v>
      </c>
      <c r="K940" s="3">
        <v>915.88</v>
      </c>
      <c r="L940">
        <v>0</v>
      </c>
      <c r="M940" s="2">
        <v>2747.64</v>
      </c>
      <c r="N940" s="2">
        <v>2220.48</v>
      </c>
      <c r="O940" s="2">
        <v>527.16</v>
      </c>
      <c r="P940" s="1">
        <f>(Sales_Data[[#This Row],[Profit]]/Sales_Data[[#This Row],[Revenue]])</f>
        <v>0.1918591955277984</v>
      </c>
    </row>
    <row r="941" spans="1:16" x14ac:dyDescent="0.35">
      <c r="A941" t="s">
        <v>181</v>
      </c>
      <c r="B941" s="5" t="s">
        <v>180</v>
      </c>
      <c r="C941" s="5" t="s">
        <v>151</v>
      </c>
      <c r="D941" s="5" t="str">
        <f>"Q"&amp;ROUNDUP(MONTH(B941)/3,0)</f>
        <v>Q2</v>
      </c>
      <c r="E941" t="s">
        <v>4</v>
      </c>
      <c r="F941" t="s">
        <v>56</v>
      </c>
      <c r="G941" t="s">
        <v>137</v>
      </c>
      <c r="H941" t="s">
        <v>20</v>
      </c>
      <c r="I941" t="s">
        <v>19</v>
      </c>
      <c r="J941" s="4">
        <v>2</v>
      </c>
      <c r="K941" s="3">
        <v>29.05</v>
      </c>
      <c r="L941">
        <v>0</v>
      </c>
      <c r="M941" s="2">
        <v>58.1</v>
      </c>
      <c r="N941" s="2">
        <v>37.340000000000003</v>
      </c>
      <c r="O941" s="2">
        <v>20.76</v>
      </c>
      <c r="P941" s="1">
        <f>(Sales_Data[[#This Row],[Profit]]/Sales_Data[[#This Row],[Revenue]])</f>
        <v>0.35731497418244407</v>
      </c>
    </row>
    <row r="942" spans="1:16" x14ac:dyDescent="0.35">
      <c r="A942" t="s">
        <v>179</v>
      </c>
      <c r="B942" s="5" t="s">
        <v>178</v>
      </c>
      <c r="C942" s="5" t="s">
        <v>151</v>
      </c>
      <c r="D942" s="5" t="str">
        <f>"Q"&amp;ROUNDUP(MONTH(B942)/3,0)</f>
        <v>Q2</v>
      </c>
      <c r="E942" t="s">
        <v>23</v>
      </c>
      <c r="F942" t="s">
        <v>52</v>
      </c>
      <c r="G942" t="s">
        <v>150</v>
      </c>
      <c r="H942" t="s">
        <v>20</v>
      </c>
      <c r="I942" t="s">
        <v>19</v>
      </c>
      <c r="J942" s="4">
        <v>6</v>
      </c>
      <c r="K942" s="3">
        <v>31.66</v>
      </c>
      <c r="L942">
        <v>0</v>
      </c>
      <c r="M942" s="2">
        <v>189.96</v>
      </c>
      <c r="N942" s="2">
        <v>133.13</v>
      </c>
      <c r="O942" s="2">
        <v>56.83</v>
      </c>
      <c r="P942" s="1">
        <f>(Sales_Data[[#This Row],[Profit]]/Sales_Data[[#This Row],[Revenue]])</f>
        <v>0.29916824594651503</v>
      </c>
    </row>
    <row r="943" spans="1:16" x14ac:dyDescent="0.35">
      <c r="A943" t="s">
        <v>177</v>
      </c>
      <c r="B943" s="5" t="s">
        <v>176</v>
      </c>
      <c r="C943" s="5" t="s">
        <v>151</v>
      </c>
      <c r="D943" s="5" t="str">
        <f>"Q"&amp;ROUNDUP(MONTH(B943)/3,0)</f>
        <v>Q2</v>
      </c>
      <c r="E943" t="s">
        <v>16</v>
      </c>
      <c r="F943" t="s">
        <v>63</v>
      </c>
      <c r="G943" t="s">
        <v>29</v>
      </c>
      <c r="H943" t="s">
        <v>34</v>
      </c>
      <c r="I943" t="s">
        <v>8</v>
      </c>
      <c r="J943" s="4">
        <v>8</v>
      </c>
      <c r="K943" s="3">
        <v>22663.75</v>
      </c>
      <c r="L943">
        <v>0</v>
      </c>
      <c r="M943" s="2">
        <v>181310</v>
      </c>
      <c r="N943" s="2">
        <v>134180.88</v>
      </c>
      <c r="O943" s="2">
        <v>47129.120000000003</v>
      </c>
      <c r="P943" s="1">
        <f>(Sales_Data[[#This Row],[Profit]]/Sales_Data[[#This Row],[Revenue]])</f>
        <v>0.25993668302906625</v>
      </c>
    </row>
    <row r="944" spans="1:16" x14ac:dyDescent="0.35">
      <c r="A944" t="s">
        <v>175</v>
      </c>
      <c r="B944" s="5" t="s">
        <v>160</v>
      </c>
      <c r="C944" s="5" t="s">
        <v>151</v>
      </c>
      <c r="D944" s="5" t="str">
        <f>"Q"&amp;ROUNDUP(MONTH(B944)/3,0)</f>
        <v>Q2</v>
      </c>
      <c r="E944" t="s">
        <v>4</v>
      </c>
      <c r="F944" t="s">
        <v>3</v>
      </c>
      <c r="G944" t="s">
        <v>174</v>
      </c>
      <c r="H944" t="s">
        <v>34</v>
      </c>
      <c r="I944" t="s">
        <v>8</v>
      </c>
      <c r="J944" s="4">
        <v>8</v>
      </c>
      <c r="K944" s="3">
        <v>24689.54</v>
      </c>
      <c r="L944">
        <v>0</v>
      </c>
      <c r="M944" s="2">
        <v>197516.32</v>
      </c>
      <c r="N944" s="2">
        <v>136218.97</v>
      </c>
      <c r="O944" s="2">
        <v>61297.35</v>
      </c>
      <c r="P944" s="1">
        <f>(Sales_Data[[#This Row],[Profit]]/Sales_Data[[#This Row],[Revenue]])</f>
        <v>0.31034068475961885</v>
      </c>
    </row>
    <row r="945" spans="1:16" x14ac:dyDescent="0.35">
      <c r="A945" t="s">
        <v>173</v>
      </c>
      <c r="B945" s="5" t="s">
        <v>172</v>
      </c>
      <c r="C945" s="5" t="s">
        <v>151</v>
      </c>
      <c r="D945" s="5" t="str">
        <f>"Q"&amp;ROUNDUP(MONTH(B945)/3,0)</f>
        <v>Q2</v>
      </c>
      <c r="E945" t="s">
        <v>16</v>
      </c>
      <c r="F945" t="s">
        <v>11</v>
      </c>
      <c r="G945" t="s">
        <v>42</v>
      </c>
      <c r="H945" t="s">
        <v>34</v>
      </c>
      <c r="I945" t="s">
        <v>8</v>
      </c>
      <c r="J945" s="4">
        <v>8</v>
      </c>
      <c r="K945" s="3">
        <v>24557.55</v>
      </c>
      <c r="L945">
        <v>0</v>
      </c>
      <c r="M945" s="2">
        <v>196460.4</v>
      </c>
      <c r="N945" s="2">
        <v>114651.72</v>
      </c>
      <c r="O945" s="2">
        <v>81808.679999999993</v>
      </c>
      <c r="P945" s="1">
        <f>(Sales_Data[[#This Row],[Profit]]/Sales_Data[[#This Row],[Revenue]])</f>
        <v>0.416413078666235</v>
      </c>
    </row>
    <row r="946" spans="1:16" x14ac:dyDescent="0.35">
      <c r="A946" t="s">
        <v>171</v>
      </c>
      <c r="B946" s="5" t="s">
        <v>170</v>
      </c>
      <c r="C946" s="5" t="s">
        <v>151</v>
      </c>
      <c r="D946" s="5" t="str">
        <f>"Q"&amp;ROUNDUP(MONTH(B946)/3,0)</f>
        <v>Q2</v>
      </c>
      <c r="E946" t="s">
        <v>23</v>
      </c>
      <c r="F946" t="s">
        <v>63</v>
      </c>
      <c r="G946" t="s">
        <v>169</v>
      </c>
      <c r="H946" t="s">
        <v>50</v>
      </c>
      <c r="I946" t="s">
        <v>49</v>
      </c>
      <c r="J946" s="4">
        <v>6</v>
      </c>
      <c r="K946" s="3">
        <v>4606.93</v>
      </c>
      <c r="L946">
        <v>0</v>
      </c>
      <c r="M946" s="2">
        <v>27641.58</v>
      </c>
      <c r="N946" s="2">
        <v>22017.97</v>
      </c>
      <c r="O946" s="2">
        <v>5623.61</v>
      </c>
      <c r="P946" s="1">
        <f>(Sales_Data[[#This Row],[Profit]]/Sales_Data[[#This Row],[Revenue]])</f>
        <v>0.20344748744463953</v>
      </c>
    </row>
    <row r="947" spans="1:16" x14ac:dyDescent="0.35">
      <c r="A947" t="s">
        <v>168</v>
      </c>
      <c r="B947" s="5" t="s">
        <v>167</v>
      </c>
      <c r="C947" s="5" t="s">
        <v>151</v>
      </c>
      <c r="D947" s="5" t="str">
        <f>"Q"&amp;ROUNDUP(MONTH(B947)/3,0)</f>
        <v>Q2</v>
      </c>
      <c r="E947" t="s">
        <v>23</v>
      </c>
      <c r="F947" t="s">
        <v>3</v>
      </c>
      <c r="G947" t="s">
        <v>166</v>
      </c>
      <c r="H947" t="s">
        <v>78</v>
      </c>
      <c r="I947" t="s">
        <v>19</v>
      </c>
      <c r="J947" s="4">
        <v>4</v>
      </c>
      <c r="K947" s="3">
        <v>109.65</v>
      </c>
      <c r="L947">
        <v>0</v>
      </c>
      <c r="M947" s="2">
        <v>438.6</v>
      </c>
      <c r="N947" s="2">
        <v>245.23</v>
      </c>
      <c r="O947" s="2">
        <v>193.37</v>
      </c>
      <c r="P947" s="1">
        <f>(Sales_Data[[#This Row],[Profit]]/Sales_Data[[#This Row],[Revenue]])</f>
        <v>0.44088007295941634</v>
      </c>
    </row>
    <row r="948" spans="1:16" x14ac:dyDescent="0.35">
      <c r="A948" t="s">
        <v>165</v>
      </c>
      <c r="B948" s="5" t="s">
        <v>164</v>
      </c>
      <c r="C948" s="5" t="s">
        <v>151</v>
      </c>
      <c r="D948" s="5" t="str">
        <f>"Q"&amp;ROUNDUP(MONTH(B948)/3,0)</f>
        <v>Q2</v>
      </c>
      <c r="E948" t="s">
        <v>23</v>
      </c>
      <c r="F948" t="s">
        <v>3</v>
      </c>
      <c r="G948" t="s">
        <v>15</v>
      </c>
      <c r="H948" t="s">
        <v>34</v>
      </c>
      <c r="I948" t="s">
        <v>8</v>
      </c>
      <c r="J948" s="4">
        <v>6</v>
      </c>
      <c r="K948" s="3">
        <v>25215.26</v>
      </c>
      <c r="L948">
        <v>0</v>
      </c>
      <c r="M948" s="2">
        <v>151291.56</v>
      </c>
      <c r="N948" s="2">
        <v>90581.52</v>
      </c>
      <c r="O948" s="2">
        <v>60710.04</v>
      </c>
      <c r="P948" s="1">
        <f>(Sales_Data[[#This Row],[Profit]]/Sales_Data[[#This Row],[Revenue]])</f>
        <v>0.40127843218749282</v>
      </c>
    </row>
    <row r="949" spans="1:16" x14ac:dyDescent="0.35">
      <c r="A949" t="s">
        <v>163</v>
      </c>
      <c r="B949" s="5" t="s">
        <v>162</v>
      </c>
      <c r="C949" s="5" t="s">
        <v>151</v>
      </c>
      <c r="D949" s="5" t="str">
        <f>"Q"&amp;ROUNDUP(MONTH(B949)/3,0)</f>
        <v>Q2</v>
      </c>
      <c r="E949" t="s">
        <v>36</v>
      </c>
      <c r="F949" t="s">
        <v>56</v>
      </c>
      <c r="G949" t="s">
        <v>29</v>
      </c>
      <c r="H949" t="s">
        <v>45</v>
      </c>
      <c r="I949" t="s">
        <v>8</v>
      </c>
      <c r="J949" s="4">
        <v>8</v>
      </c>
      <c r="K949" s="3">
        <v>864.66</v>
      </c>
      <c r="L949">
        <v>0</v>
      </c>
      <c r="M949" s="2">
        <v>6917.28</v>
      </c>
      <c r="N949" s="2">
        <v>5308.8</v>
      </c>
      <c r="O949" s="2">
        <v>1608.48</v>
      </c>
      <c r="P949" s="1">
        <f>(Sales_Data[[#This Row],[Profit]]/Sales_Data[[#This Row],[Revenue]])</f>
        <v>0.23253070571091528</v>
      </c>
    </row>
    <row r="950" spans="1:16" x14ac:dyDescent="0.35">
      <c r="A950" t="s">
        <v>161</v>
      </c>
      <c r="B950" s="5" t="s">
        <v>160</v>
      </c>
      <c r="C950" s="5" t="s">
        <v>151</v>
      </c>
      <c r="D950" s="5" t="str">
        <f>"Q"&amp;ROUNDUP(MONTH(B950)/3,0)</f>
        <v>Q2</v>
      </c>
      <c r="E950" t="s">
        <v>23</v>
      </c>
      <c r="F950" t="s">
        <v>56</v>
      </c>
      <c r="G950" t="s">
        <v>159</v>
      </c>
      <c r="H950" t="s">
        <v>59</v>
      </c>
      <c r="I950" t="s">
        <v>0</v>
      </c>
      <c r="J950" s="4">
        <v>1</v>
      </c>
      <c r="K950" s="3">
        <v>1552.4</v>
      </c>
      <c r="L950">
        <v>0</v>
      </c>
      <c r="M950" s="2">
        <v>1552.4</v>
      </c>
      <c r="N950" s="2">
        <v>997.69</v>
      </c>
      <c r="O950" s="2">
        <v>554.71</v>
      </c>
      <c r="P950" s="1">
        <f>(Sales_Data[[#This Row],[Profit]]/Sales_Data[[#This Row],[Revenue]])</f>
        <v>0.35732414326204587</v>
      </c>
    </row>
    <row r="951" spans="1:16" x14ac:dyDescent="0.35">
      <c r="A951" t="s">
        <v>158</v>
      </c>
      <c r="B951" s="5" t="s">
        <v>152</v>
      </c>
      <c r="C951" s="5" t="s">
        <v>151</v>
      </c>
      <c r="D951" s="5" t="str">
        <f>"Q"&amp;ROUNDUP(MONTH(B951)/3,0)</f>
        <v>Q2</v>
      </c>
      <c r="E951" t="s">
        <v>36</v>
      </c>
      <c r="F951" t="s">
        <v>22</v>
      </c>
      <c r="G951" t="s">
        <v>46</v>
      </c>
      <c r="H951" t="s">
        <v>34</v>
      </c>
      <c r="I951" t="s">
        <v>8</v>
      </c>
      <c r="J951" s="4">
        <v>5</v>
      </c>
      <c r="K951" s="3">
        <v>25974.97</v>
      </c>
      <c r="L951">
        <v>0</v>
      </c>
      <c r="M951" s="2">
        <v>129874.85</v>
      </c>
      <c r="N951" s="2">
        <v>82252.27</v>
      </c>
      <c r="O951" s="2">
        <v>47622.58</v>
      </c>
      <c r="P951" s="1">
        <f>(Sales_Data[[#This Row],[Profit]]/Sales_Data[[#This Row],[Revenue]])</f>
        <v>0.36668053899581021</v>
      </c>
    </row>
    <row r="952" spans="1:16" x14ac:dyDescent="0.35">
      <c r="A952" t="s">
        <v>157</v>
      </c>
      <c r="B952" s="5" t="s">
        <v>156</v>
      </c>
      <c r="C952" s="5" t="s">
        <v>151</v>
      </c>
      <c r="D952" s="5" t="str">
        <f>"Q"&amp;ROUNDUP(MONTH(B952)/3,0)</f>
        <v>Q2</v>
      </c>
      <c r="E952" t="s">
        <v>23</v>
      </c>
      <c r="F952" t="s">
        <v>52</v>
      </c>
      <c r="G952" t="s">
        <v>29</v>
      </c>
      <c r="H952" t="s">
        <v>1</v>
      </c>
      <c r="I952" t="s">
        <v>0</v>
      </c>
      <c r="J952" s="4">
        <v>5</v>
      </c>
      <c r="K952" s="3">
        <v>465.21</v>
      </c>
      <c r="L952">
        <v>0</v>
      </c>
      <c r="M952" s="2">
        <v>2326.0500000000002</v>
      </c>
      <c r="N952" s="2">
        <v>1624.06</v>
      </c>
      <c r="O952" s="2">
        <v>701.99</v>
      </c>
      <c r="P952" s="1">
        <f>(Sales_Data[[#This Row],[Profit]]/Sales_Data[[#This Row],[Revenue]])</f>
        <v>0.30179488833000151</v>
      </c>
    </row>
    <row r="953" spans="1:16" x14ac:dyDescent="0.35">
      <c r="A953" t="s">
        <v>155</v>
      </c>
      <c r="B953" s="5" t="s">
        <v>154</v>
      </c>
      <c r="C953" s="5" t="s">
        <v>151</v>
      </c>
      <c r="D953" s="5" t="str">
        <f>"Q"&amp;ROUNDUP(MONTH(B953)/3,0)</f>
        <v>Q2</v>
      </c>
      <c r="E953" t="s">
        <v>36</v>
      </c>
      <c r="F953" t="s">
        <v>63</v>
      </c>
      <c r="G953" t="s">
        <v>116</v>
      </c>
      <c r="H953" t="s">
        <v>34</v>
      </c>
      <c r="I953" t="s">
        <v>8</v>
      </c>
      <c r="J953" s="4">
        <v>6</v>
      </c>
      <c r="K953" s="3">
        <v>25747.42</v>
      </c>
      <c r="L953">
        <v>0</v>
      </c>
      <c r="M953" s="2">
        <v>154484.51999999999</v>
      </c>
      <c r="N953" s="2">
        <v>88412.09</v>
      </c>
      <c r="O953" s="2">
        <v>66072.429999999993</v>
      </c>
      <c r="P953" s="1">
        <f>(Sales_Data[[#This Row],[Profit]]/Sales_Data[[#This Row],[Revenue]])</f>
        <v>0.42769612126833162</v>
      </c>
    </row>
    <row r="954" spans="1:16" x14ac:dyDescent="0.35">
      <c r="A954" t="s">
        <v>153</v>
      </c>
      <c r="B954" s="5" t="s">
        <v>152</v>
      </c>
      <c r="C954" s="5" t="s">
        <v>151</v>
      </c>
      <c r="D954" s="5" t="str">
        <f>"Q"&amp;ROUNDUP(MONTH(B954)/3,0)</f>
        <v>Q2</v>
      </c>
      <c r="E954" t="s">
        <v>16</v>
      </c>
      <c r="F954" t="s">
        <v>3</v>
      </c>
      <c r="G954" t="s">
        <v>150</v>
      </c>
      <c r="H954" t="s">
        <v>111</v>
      </c>
      <c r="I954" t="s">
        <v>49</v>
      </c>
      <c r="J954" s="4">
        <v>1</v>
      </c>
      <c r="K954" s="3">
        <v>8000.27</v>
      </c>
      <c r="L954">
        <v>0</v>
      </c>
      <c r="M954" s="2">
        <v>8000.27</v>
      </c>
      <c r="N954" s="2">
        <v>5903.3</v>
      </c>
      <c r="O954" s="2">
        <v>2096.9699999999998</v>
      </c>
      <c r="P954" s="1">
        <f>(Sales_Data[[#This Row],[Profit]]/Sales_Data[[#This Row],[Revenue]])</f>
        <v>0.2621124037063749</v>
      </c>
    </row>
    <row r="955" spans="1:16" x14ac:dyDescent="0.35">
      <c r="A955" t="s">
        <v>149</v>
      </c>
      <c r="B955" s="5" t="s">
        <v>148</v>
      </c>
      <c r="C955" s="5" t="s">
        <v>125</v>
      </c>
      <c r="D955" s="5" t="str">
        <f>"Q"&amp;ROUNDUP(MONTH(B955)/3,0)</f>
        <v>Q4</v>
      </c>
      <c r="E955" t="s">
        <v>4</v>
      </c>
      <c r="F955" t="s">
        <v>56</v>
      </c>
      <c r="G955" t="s">
        <v>147</v>
      </c>
      <c r="H955" t="s">
        <v>1</v>
      </c>
      <c r="I955" t="s">
        <v>0</v>
      </c>
      <c r="J955" s="4">
        <v>5</v>
      </c>
      <c r="K955" s="3">
        <v>454.53</v>
      </c>
      <c r="L955">
        <v>0</v>
      </c>
      <c r="M955" s="2">
        <v>2272.65</v>
      </c>
      <c r="N955" s="2">
        <v>1680.94</v>
      </c>
      <c r="O955" s="2">
        <v>591.71</v>
      </c>
      <c r="P955" s="1">
        <f>(Sales_Data[[#This Row],[Profit]]/Sales_Data[[#This Row],[Revenue]])</f>
        <v>0.26036125228257762</v>
      </c>
    </row>
    <row r="956" spans="1:16" x14ac:dyDescent="0.35">
      <c r="A956" t="s">
        <v>146</v>
      </c>
      <c r="B956" s="5" t="s">
        <v>145</v>
      </c>
      <c r="C956" s="5" t="s">
        <v>125</v>
      </c>
      <c r="D956" s="5" t="str">
        <f>"Q"&amp;ROUNDUP(MONTH(B956)/3,0)</f>
        <v>Q4</v>
      </c>
      <c r="E956" t="s">
        <v>4</v>
      </c>
      <c r="F956" t="s">
        <v>52</v>
      </c>
      <c r="G956" t="s">
        <v>85</v>
      </c>
      <c r="H956" t="s">
        <v>45</v>
      </c>
      <c r="I956" t="s">
        <v>8</v>
      </c>
      <c r="J956" s="4">
        <v>7</v>
      </c>
      <c r="K956" s="3">
        <v>836.14</v>
      </c>
      <c r="L956">
        <v>0</v>
      </c>
      <c r="M956" s="2">
        <v>5852.98</v>
      </c>
      <c r="N956" s="2">
        <v>3682.81</v>
      </c>
      <c r="O956" s="2">
        <v>2170.17</v>
      </c>
      <c r="P956" s="1">
        <f>(Sales_Data[[#This Row],[Profit]]/Sales_Data[[#This Row],[Revenue]])</f>
        <v>0.37078035462277342</v>
      </c>
    </row>
    <row r="957" spans="1:16" x14ac:dyDescent="0.35">
      <c r="A957" t="s">
        <v>144</v>
      </c>
      <c r="B957" s="5" t="s">
        <v>143</v>
      </c>
      <c r="C957" s="5" t="s">
        <v>125</v>
      </c>
      <c r="D957" s="5" t="str">
        <f>"Q"&amp;ROUNDUP(MONTH(B957)/3,0)</f>
        <v>Q4</v>
      </c>
      <c r="E957" t="s">
        <v>4</v>
      </c>
      <c r="F957" t="s">
        <v>22</v>
      </c>
      <c r="G957" t="s">
        <v>142</v>
      </c>
      <c r="H957" t="s">
        <v>78</v>
      </c>
      <c r="I957" t="s">
        <v>19</v>
      </c>
      <c r="J957" s="4">
        <v>1</v>
      </c>
      <c r="K957" s="3">
        <v>118.88</v>
      </c>
      <c r="L957">
        <v>0</v>
      </c>
      <c r="M957" s="2">
        <v>118.88</v>
      </c>
      <c r="N957" s="2">
        <v>89.3</v>
      </c>
      <c r="O957" s="2">
        <v>29.58</v>
      </c>
      <c r="P957" s="1">
        <f>(Sales_Data[[#This Row],[Profit]]/Sales_Data[[#This Row],[Revenue]])</f>
        <v>0.24882234185733512</v>
      </c>
    </row>
    <row r="958" spans="1:16" x14ac:dyDescent="0.35">
      <c r="A958" t="s">
        <v>141</v>
      </c>
      <c r="B958" s="5" t="s">
        <v>140</v>
      </c>
      <c r="C958" s="5" t="s">
        <v>125</v>
      </c>
      <c r="D958" s="5" t="str">
        <f>"Q"&amp;ROUNDUP(MONTH(B958)/3,0)</f>
        <v>Q4</v>
      </c>
      <c r="E958" t="s">
        <v>16</v>
      </c>
      <c r="F958" t="s">
        <v>52</v>
      </c>
      <c r="G958" t="s">
        <v>116</v>
      </c>
      <c r="H958" t="s">
        <v>45</v>
      </c>
      <c r="I958" t="s">
        <v>8</v>
      </c>
      <c r="J958" s="4">
        <v>1</v>
      </c>
      <c r="K958" s="3">
        <v>893.57</v>
      </c>
      <c r="L958">
        <v>0</v>
      </c>
      <c r="M958" s="2">
        <v>893.57</v>
      </c>
      <c r="N958" s="2">
        <v>646.62</v>
      </c>
      <c r="O958" s="2">
        <v>246.95</v>
      </c>
      <c r="P958" s="1">
        <f>(Sales_Data[[#This Row],[Profit]]/Sales_Data[[#This Row],[Revenue]])</f>
        <v>0.27636335150016222</v>
      </c>
    </row>
    <row r="959" spans="1:16" x14ac:dyDescent="0.35">
      <c r="A959" t="s">
        <v>139</v>
      </c>
      <c r="B959" s="5" t="s">
        <v>138</v>
      </c>
      <c r="C959" s="5" t="s">
        <v>125</v>
      </c>
      <c r="D959" s="5" t="str">
        <f>"Q"&amp;ROUNDUP(MONTH(B959)/3,0)</f>
        <v>Q4</v>
      </c>
      <c r="E959" t="s">
        <v>4</v>
      </c>
      <c r="F959" t="s">
        <v>52</v>
      </c>
      <c r="G959" t="s">
        <v>137</v>
      </c>
      <c r="H959" t="s">
        <v>34</v>
      </c>
      <c r="I959" t="s">
        <v>8</v>
      </c>
      <c r="J959" s="4">
        <v>3</v>
      </c>
      <c r="K959" s="3">
        <v>22994.43</v>
      </c>
      <c r="L959">
        <v>0</v>
      </c>
      <c r="M959" s="2">
        <v>68983.289999999994</v>
      </c>
      <c r="N959" s="2">
        <v>47991.34</v>
      </c>
      <c r="O959" s="2">
        <v>20991.95</v>
      </c>
      <c r="P959" s="1">
        <f>(Sales_Data[[#This Row],[Profit]]/Sales_Data[[#This Row],[Revenue]])</f>
        <v>0.30430485411756969</v>
      </c>
    </row>
    <row r="960" spans="1:16" x14ac:dyDescent="0.35">
      <c r="A960" t="s">
        <v>136</v>
      </c>
      <c r="B960" s="5" t="s">
        <v>135</v>
      </c>
      <c r="C960" s="5" t="s">
        <v>125</v>
      </c>
      <c r="D960" s="5" t="str">
        <f>"Q"&amp;ROUNDUP(MONTH(B960)/3,0)</f>
        <v>Q4</v>
      </c>
      <c r="E960" t="s">
        <v>4</v>
      </c>
      <c r="F960" t="s">
        <v>63</v>
      </c>
      <c r="G960" t="s">
        <v>104</v>
      </c>
      <c r="H960" t="s">
        <v>20</v>
      </c>
      <c r="I960" t="s">
        <v>19</v>
      </c>
      <c r="J960" s="4">
        <v>8</v>
      </c>
      <c r="K960" s="3">
        <v>32.020000000000003</v>
      </c>
      <c r="L960">
        <v>0</v>
      </c>
      <c r="M960" s="2">
        <v>256.16000000000003</v>
      </c>
      <c r="N960" s="2">
        <v>196.33</v>
      </c>
      <c r="O960" s="2">
        <v>59.83</v>
      </c>
      <c r="P960" s="1">
        <f>(Sales_Data[[#This Row],[Profit]]/Sales_Data[[#This Row],[Revenue]])</f>
        <v>0.23356495940037475</v>
      </c>
    </row>
    <row r="961" spans="1:16" x14ac:dyDescent="0.35">
      <c r="A961" t="s">
        <v>134</v>
      </c>
      <c r="B961" s="5" t="s">
        <v>133</v>
      </c>
      <c r="C961" s="5" t="s">
        <v>125</v>
      </c>
      <c r="D961" s="5" t="str">
        <f>"Q"&amp;ROUNDUP(MONTH(B961)/3,0)</f>
        <v>Q4</v>
      </c>
      <c r="E961" t="s">
        <v>23</v>
      </c>
      <c r="F961" t="s">
        <v>11</v>
      </c>
      <c r="G961" t="s">
        <v>66</v>
      </c>
      <c r="H961" t="s">
        <v>1</v>
      </c>
      <c r="I961" t="s">
        <v>0</v>
      </c>
      <c r="J961" s="4">
        <v>2</v>
      </c>
      <c r="K961" s="3">
        <v>460.69</v>
      </c>
      <c r="L961">
        <v>0</v>
      </c>
      <c r="M961" s="2">
        <v>921.38</v>
      </c>
      <c r="N961" s="2">
        <v>707.48</v>
      </c>
      <c r="O961" s="2">
        <v>213.9</v>
      </c>
      <c r="P961" s="1">
        <f>(Sales_Data[[#This Row],[Profit]]/Sales_Data[[#This Row],[Revenue]])</f>
        <v>0.23215177234148779</v>
      </c>
    </row>
    <row r="962" spans="1:16" x14ac:dyDescent="0.35">
      <c r="A962" t="s">
        <v>132</v>
      </c>
      <c r="B962" s="5" t="s">
        <v>131</v>
      </c>
      <c r="C962" s="5" t="s">
        <v>125</v>
      </c>
      <c r="D962" s="5" t="str">
        <f>"Q"&amp;ROUNDUP(MONTH(B962)/3,0)</f>
        <v>Q4</v>
      </c>
      <c r="E962" t="s">
        <v>16</v>
      </c>
      <c r="F962" t="s">
        <v>56</v>
      </c>
      <c r="G962" t="s">
        <v>101</v>
      </c>
      <c r="H962" t="s">
        <v>45</v>
      </c>
      <c r="I962" t="s">
        <v>8</v>
      </c>
      <c r="J962" s="4">
        <v>6</v>
      </c>
      <c r="K962" s="3">
        <v>840.56</v>
      </c>
      <c r="L962">
        <v>0</v>
      </c>
      <c r="M962" s="2">
        <v>5043.3599999999997</v>
      </c>
      <c r="N962" s="2">
        <v>4075.87</v>
      </c>
      <c r="O962" s="2">
        <v>967.49</v>
      </c>
      <c r="P962" s="1">
        <f>(Sales_Data[[#This Row],[Profit]]/Sales_Data[[#This Row],[Revenue]])</f>
        <v>0.19183441197931539</v>
      </c>
    </row>
    <row r="963" spans="1:16" x14ac:dyDescent="0.35">
      <c r="A963" t="s">
        <v>130</v>
      </c>
      <c r="B963" s="5" t="s">
        <v>129</v>
      </c>
      <c r="C963" s="5" t="s">
        <v>125</v>
      </c>
      <c r="D963" s="5" t="str">
        <f>"Q"&amp;ROUNDUP(MONTH(B963)/3,0)</f>
        <v>Q4</v>
      </c>
      <c r="E963" t="s">
        <v>36</v>
      </c>
      <c r="F963" t="s">
        <v>56</v>
      </c>
      <c r="G963" t="s">
        <v>128</v>
      </c>
      <c r="H963" t="s">
        <v>1</v>
      </c>
      <c r="I963" t="s">
        <v>0</v>
      </c>
      <c r="J963" s="4">
        <v>3</v>
      </c>
      <c r="K963" s="3">
        <v>544.74</v>
      </c>
      <c r="L963">
        <v>0</v>
      </c>
      <c r="M963" s="2">
        <v>1634.22</v>
      </c>
      <c r="N963" s="2">
        <v>1283.21</v>
      </c>
      <c r="O963" s="2">
        <v>351.01</v>
      </c>
      <c r="P963" s="1">
        <f>(Sales_Data[[#This Row],[Profit]]/Sales_Data[[#This Row],[Revenue]])</f>
        <v>0.21478748271346573</v>
      </c>
    </row>
    <row r="964" spans="1:16" x14ac:dyDescent="0.35">
      <c r="A964" t="s">
        <v>127</v>
      </c>
      <c r="B964" s="5" t="s">
        <v>126</v>
      </c>
      <c r="C964" s="5" t="s">
        <v>125</v>
      </c>
      <c r="D964" s="5" t="str">
        <f>"Q"&amp;ROUNDUP(MONTH(B964)/3,0)</f>
        <v>Q4</v>
      </c>
      <c r="E964" t="s">
        <v>4</v>
      </c>
      <c r="F964" t="s">
        <v>11</v>
      </c>
      <c r="G964" t="s">
        <v>124</v>
      </c>
      <c r="H964" t="s">
        <v>34</v>
      </c>
      <c r="I964" t="s">
        <v>8</v>
      </c>
      <c r="J964" s="4">
        <v>1</v>
      </c>
      <c r="K964" s="3">
        <v>22546.87</v>
      </c>
      <c r="L964">
        <v>0</v>
      </c>
      <c r="M964" s="2">
        <v>22546.87</v>
      </c>
      <c r="N964" s="2">
        <v>17906.18</v>
      </c>
      <c r="O964" s="2">
        <v>4640.6899999999996</v>
      </c>
      <c r="P964" s="1">
        <f>(Sales_Data[[#This Row],[Profit]]/Sales_Data[[#This Row],[Revenue]])</f>
        <v>0.20582413434769437</v>
      </c>
    </row>
    <row r="965" spans="1:16" x14ac:dyDescent="0.35">
      <c r="A965" t="s">
        <v>123</v>
      </c>
      <c r="B965" s="5" t="s">
        <v>122</v>
      </c>
      <c r="C965" s="5" t="s">
        <v>72</v>
      </c>
      <c r="D965" s="5" t="str">
        <f>"Q"&amp;ROUNDUP(MONTH(B965)/3,0)</f>
        <v>Q4</v>
      </c>
      <c r="E965" t="s">
        <v>4</v>
      </c>
      <c r="F965" t="s">
        <v>56</v>
      </c>
      <c r="G965" t="s">
        <v>15</v>
      </c>
      <c r="H965" t="s">
        <v>9</v>
      </c>
      <c r="I965" t="s">
        <v>8</v>
      </c>
      <c r="J965" s="4">
        <v>4</v>
      </c>
      <c r="K965" s="3">
        <v>65446.02</v>
      </c>
      <c r="L965">
        <v>0</v>
      </c>
      <c r="M965" s="2">
        <v>261784.08</v>
      </c>
      <c r="N965" s="2">
        <v>211281.24</v>
      </c>
      <c r="O965" s="2">
        <v>50502.84</v>
      </c>
      <c r="P965" s="1">
        <f>(Sales_Data[[#This Row],[Profit]]/Sales_Data[[#This Row],[Revenue]])</f>
        <v>0.1929179192256458</v>
      </c>
    </row>
    <row r="966" spans="1:16" x14ac:dyDescent="0.35">
      <c r="A966" t="s">
        <v>121</v>
      </c>
      <c r="B966" s="5" t="s">
        <v>106</v>
      </c>
      <c r="C966" s="5" t="s">
        <v>72</v>
      </c>
      <c r="D966" s="5" t="str">
        <f>"Q"&amp;ROUNDUP(MONTH(B966)/3,0)</f>
        <v>Q4</v>
      </c>
      <c r="E966" t="s">
        <v>4</v>
      </c>
      <c r="F966" t="s">
        <v>11</v>
      </c>
      <c r="G966" t="s">
        <v>68</v>
      </c>
      <c r="H966" t="s">
        <v>78</v>
      </c>
      <c r="I966" t="s">
        <v>19</v>
      </c>
      <c r="J966" s="4">
        <v>2</v>
      </c>
      <c r="K966" s="3">
        <v>126.14</v>
      </c>
      <c r="L966">
        <v>0</v>
      </c>
      <c r="M966" s="2">
        <v>252.28</v>
      </c>
      <c r="N966" s="2">
        <v>154.63999999999999</v>
      </c>
      <c r="O966" s="2">
        <v>97.64</v>
      </c>
      <c r="P966" s="1">
        <f>(Sales_Data[[#This Row],[Profit]]/Sales_Data[[#This Row],[Revenue]])</f>
        <v>0.38703028381163784</v>
      </c>
    </row>
    <row r="967" spans="1:16" x14ac:dyDescent="0.35">
      <c r="A967" t="s">
        <v>120</v>
      </c>
      <c r="B967" s="5" t="s">
        <v>119</v>
      </c>
      <c r="C967" s="5" t="s">
        <v>72</v>
      </c>
      <c r="D967" s="5" t="str">
        <f>"Q"&amp;ROUNDUP(MONTH(B967)/3,0)</f>
        <v>Q4</v>
      </c>
      <c r="E967" t="s">
        <v>4</v>
      </c>
      <c r="F967" t="s">
        <v>52</v>
      </c>
      <c r="G967" t="s">
        <v>118</v>
      </c>
      <c r="H967" t="s">
        <v>59</v>
      </c>
      <c r="I967" t="s">
        <v>0</v>
      </c>
      <c r="J967" s="4">
        <v>6</v>
      </c>
      <c r="K967" s="3">
        <v>1611.08</v>
      </c>
      <c r="L967">
        <v>0</v>
      </c>
      <c r="M967" s="2">
        <v>9666.48</v>
      </c>
      <c r="N967" s="2">
        <v>6168.68</v>
      </c>
      <c r="O967" s="2">
        <v>3497.8</v>
      </c>
      <c r="P967" s="1">
        <f>(Sales_Data[[#This Row],[Profit]]/Sales_Data[[#This Row],[Revenue]])</f>
        <v>0.36184836672708165</v>
      </c>
    </row>
    <row r="968" spans="1:16" x14ac:dyDescent="0.35">
      <c r="A968" t="s">
        <v>117</v>
      </c>
      <c r="B968" s="5" t="s">
        <v>102</v>
      </c>
      <c r="C968" s="5" t="s">
        <v>72</v>
      </c>
      <c r="D968" s="5" t="str">
        <f>"Q"&amp;ROUNDUP(MONTH(B968)/3,0)</f>
        <v>Q4</v>
      </c>
      <c r="E968" t="s">
        <v>16</v>
      </c>
      <c r="F968" t="s">
        <v>3</v>
      </c>
      <c r="G968" t="s">
        <v>116</v>
      </c>
      <c r="H968" t="s">
        <v>1</v>
      </c>
      <c r="I968" t="s">
        <v>0</v>
      </c>
      <c r="J968" s="4">
        <v>8</v>
      </c>
      <c r="K968" s="3">
        <v>504.68</v>
      </c>
      <c r="L968">
        <v>0</v>
      </c>
      <c r="M968" s="2">
        <v>4037.44</v>
      </c>
      <c r="N968" s="2">
        <v>3035.17</v>
      </c>
      <c r="O968" s="2">
        <v>1002.27</v>
      </c>
      <c r="P968" s="1">
        <f>(Sales_Data[[#This Row],[Profit]]/Sales_Data[[#This Row],[Revenue]])</f>
        <v>0.24824393675200127</v>
      </c>
    </row>
    <row r="969" spans="1:16" x14ac:dyDescent="0.35">
      <c r="A969" t="s">
        <v>115</v>
      </c>
      <c r="B969" s="5" t="s">
        <v>114</v>
      </c>
      <c r="C969" s="5" t="s">
        <v>72</v>
      </c>
      <c r="D969" s="5" t="str">
        <f>"Q"&amp;ROUNDUP(MONTH(B969)/3,0)</f>
        <v>Q4</v>
      </c>
      <c r="E969" t="s">
        <v>16</v>
      </c>
      <c r="F969" t="s">
        <v>52</v>
      </c>
      <c r="G969" t="s">
        <v>21</v>
      </c>
      <c r="H969" t="s">
        <v>14</v>
      </c>
      <c r="I969" t="s">
        <v>8</v>
      </c>
      <c r="J969" s="4">
        <v>3</v>
      </c>
      <c r="K969" s="3">
        <v>2277.81</v>
      </c>
      <c r="L969">
        <v>0</v>
      </c>
      <c r="M969" s="2">
        <v>6833.43</v>
      </c>
      <c r="N969" s="2">
        <v>5687.42</v>
      </c>
      <c r="O969" s="2">
        <v>1146.01</v>
      </c>
      <c r="P969" s="1">
        <f>(Sales_Data[[#This Row],[Profit]]/Sales_Data[[#This Row],[Revenue]])</f>
        <v>0.1677064080556909</v>
      </c>
    </row>
    <row r="970" spans="1:16" x14ac:dyDescent="0.35">
      <c r="A970" t="s">
        <v>113</v>
      </c>
      <c r="B970" s="5" t="s">
        <v>96</v>
      </c>
      <c r="C970" s="5" t="s">
        <v>72</v>
      </c>
      <c r="D970" s="5" t="str">
        <f>"Q"&amp;ROUNDUP(MONTH(B970)/3,0)</f>
        <v>Q4</v>
      </c>
      <c r="E970" t="s">
        <v>4</v>
      </c>
      <c r="F970" t="s">
        <v>52</v>
      </c>
      <c r="G970" t="s">
        <v>112</v>
      </c>
      <c r="H970" t="s">
        <v>111</v>
      </c>
      <c r="I970" t="s">
        <v>49</v>
      </c>
      <c r="J970" s="4">
        <v>6</v>
      </c>
      <c r="K970" s="3">
        <v>7660.22</v>
      </c>
      <c r="L970">
        <v>0</v>
      </c>
      <c r="M970" s="2">
        <v>45961.32</v>
      </c>
      <c r="N970" s="2">
        <v>33745.94</v>
      </c>
      <c r="O970" s="2">
        <v>12215.38</v>
      </c>
      <c r="P970" s="1">
        <f>(Sales_Data[[#This Row],[Profit]]/Sales_Data[[#This Row],[Revenue]])</f>
        <v>0.26577522142532023</v>
      </c>
    </row>
    <row r="971" spans="1:16" x14ac:dyDescent="0.35">
      <c r="A971" t="s">
        <v>110</v>
      </c>
      <c r="B971" s="5" t="s">
        <v>109</v>
      </c>
      <c r="C971" s="5" t="s">
        <v>72</v>
      </c>
      <c r="D971" s="5" t="str">
        <f>"Q"&amp;ROUNDUP(MONTH(B971)/3,0)</f>
        <v>Q4</v>
      </c>
      <c r="E971" t="s">
        <v>36</v>
      </c>
      <c r="F971" t="s">
        <v>63</v>
      </c>
      <c r="G971" t="s">
        <v>108</v>
      </c>
      <c r="H971" t="s">
        <v>59</v>
      </c>
      <c r="I971" t="s">
        <v>0</v>
      </c>
      <c r="J971" s="4">
        <v>1</v>
      </c>
      <c r="K971" s="3">
        <v>1649.43</v>
      </c>
      <c r="L971">
        <v>0</v>
      </c>
      <c r="M971" s="2">
        <v>1649.43</v>
      </c>
      <c r="N971" s="2">
        <v>1082.72</v>
      </c>
      <c r="O971" s="2">
        <v>566.71</v>
      </c>
      <c r="P971" s="1">
        <f>(Sales_Data[[#This Row],[Profit]]/Sales_Data[[#This Row],[Revenue]])</f>
        <v>0.34357929709051005</v>
      </c>
    </row>
    <row r="972" spans="1:16" x14ac:dyDescent="0.35">
      <c r="A972" t="s">
        <v>107</v>
      </c>
      <c r="B972" s="5" t="s">
        <v>106</v>
      </c>
      <c r="C972" s="5" t="s">
        <v>72</v>
      </c>
      <c r="D972" s="5" t="str">
        <f>"Q"&amp;ROUNDUP(MONTH(B972)/3,0)</f>
        <v>Q4</v>
      </c>
      <c r="E972" t="s">
        <v>16</v>
      </c>
      <c r="F972" t="s">
        <v>3</v>
      </c>
      <c r="G972" t="s">
        <v>79</v>
      </c>
      <c r="H972" t="s">
        <v>50</v>
      </c>
      <c r="I972" t="s">
        <v>49</v>
      </c>
      <c r="J972" s="4">
        <v>7</v>
      </c>
      <c r="K972" s="3">
        <v>4760.34</v>
      </c>
      <c r="L972">
        <v>0</v>
      </c>
      <c r="M972" s="2">
        <v>33322.379999999997</v>
      </c>
      <c r="N972" s="2">
        <v>18846.59</v>
      </c>
      <c r="O972" s="2">
        <v>14475.79</v>
      </c>
      <c r="P972" s="1">
        <f>(Sales_Data[[#This Row],[Profit]]/Sales_Data[[#This Row],[Revenue]])</f>
        <v>0.43441644924522205</v>
      </c>
    </row>
    <row r="973" spans="1:16" x14ac:dyDescent="0.35">
      <c r="A973" t="s">
        <v>105</v>
      </c>
      <c r="B973" s="5" t="s">
        <v>88</v>
      </c>
      <c r="C973" s="5" t="s">
        <v>72</v>
      </c>
      <c r="D973" s="5" t="str">
        <f>"Q"&amp;ROUNDUP(MONTH(B973)/3,0)</f>
        <v>Q4</v>
      </c>
      <c r="E973" t="s">
        <v>4</v>
      </c>
      <c r="F973" t="s">
        <v>11</v>
      </c>
      <c r="G973" t="s">
        <v>104</v>
      </c>
      <c r="H973" t="s">
        <v>59</v>
      </c>
      <c r="I973" t="s">
        <v>0</v>
      </c>
      <c r="J973" s="4">
        <v>6</v>
      </c>
      <c r="K973" s="3">
        <v>1520.1</v>
      </c>
      <c r="L973">
        <v>0</v>
      </c>
      <c r="M973" s="2">
        <v>9120.6</v>
      </c>
      <c r="N973" s="2">
        <v>5928.27</v>
      </c>
      <c r="O973" s="2">
        <v>3192.33</v>
      </c>
      <c r="P973" s="1">
        <f>(Sales_Data[[#This Row],[Profit]]/Sales_Data[[#This Row],[Revenue]])</f>
        <v>0.35001315702914282</v>
      </c>
    </row>
    <row r="974" spans="1:16" x14ac:dyDescent="0.35">
      <c r="A974" t="s">
        <v>103</v>
      </c>
      <c r="B974" s="5" t="s">
        <v>102</v>
      </c>
      <c r="C974" s="5" t="s">
        <v>72</v>
      </c>
      <c r="D974" s="5" t="str">
        <f>"Q"&amp;ROUNDUP(MONTH(B974)/3,0)</f>
        <v>Q4</v>
      </c>
      <c r="E974" t="s">
        <v>36</v>
      </c>
      <c r="F974" t="s">
        <v>22</v>
      </c>
      <c r="G974" t="s">
        <v>101</v>
      </c>
      <c r="H974" t="s">
        <v>50</v>
      </c>
      <c r="I974" t="s">
        <v>49</v>
      </c>
      <c r="J974" s="4">
        <v>7</v>
      </c>
      <c r="K974" s="3">
        <v>4305.2</v>
      </c>
      <c r="L974">
        <v>0</v>
      </c>
      <c r="M974" s="2">
        <v>30136.400000000001</v>
      </c>
      <c r="N974" s="2">
        <v>20031.23</v>
      </c>
      <c r="O974" s="2">
        <v>10105.17</v>
      </c>
      <c r="P974" s="1">
        <f>(Sales_Data[[#This Row],[Profit]]/Sales_Data[[#This Row],[Revenue]])</f>
        <v>0.3353144370263203</v>
      </c>
    </row>
    <row r="975" spans="1:16" x14ac:dyDescent="0.35">
      <c r="A975" t="s">
        <v>100</v>
      </c>
      <c r="B975" s="5" t="s">
        <v>99</v>
      </c>
      <c r="C975" s="5" t="s">
        <v>72</v>
      </c>
      <c r="D975" s="5" t="str">
        <f>"Q"&amp;ROUNDUP(MONTH(B975)/3,0)</f>
        <v>Q4</v>
      </c>
      <c r="E975" t="s">
        <v>16</v>
      </c>
      <c r="F975" t="s">
        <v>22</v>
      </c>
      <c r="G975" t="s">
        <v>98</v>
      </c>
      <c r="H975" t="s">
        <v>20</v>
      </c>
      <c r="I975" t="s">
        <v>19</v>
      </c>
      <c r="J975" s="4">
        <v>2</v>
      </c>
      <c r="K975" s="3">
        <v>27.78</v>
      </c>
      <c r="L975">
        <v>0</v>
      </c>
      <c r="M975" s="2">
        <v>55.56</v>
      </c>
      <c r="N975" s="2">
        <v>39.65</v>
      </c>
      <c r="O975" s="2">
        <v>15.91</v>
      </c>
      <c r="P975" s="1">
        <f>(Sales_Data[[#This Row],[Profit]]/Sales_Data[[#This Row],[Revenue]])</f>
        <v>0.2863570914326854</v>
      </c>
    </row>
    <row r="976" spans="1:16" x14ac:dyDescent="0.35">
      <c r="A976" t="s">
        <v>97</v>
      </c>
      <c r="B976" s="5" t="s">
        <v>96</v>
      </c>
      <c r="C976" s="5" t="s">
        <v>72</v>
      </c>
      <c r="D976" s="5" t="str">
        <f>"Q"&amp;ROUNDUP(MONTH(B976)/3,0)</f>
        <v>Q4</v>
      </c>
      <c r="E976" t="s">
        <v>36</v>
      </c>
      <c r="F976" t="s">
        <v>63</v>
      </c>
      <c r="G976" t="s">
        <v>95</v>
      </c>
      <c r="H976" t="s">
        <v>1</v>
      </c>
      <c r="I976" t="s">
        <v>0</v>
      </c>
      <c r="J976" s="4">
        <v>3</v>
      </c>
      <c r="K976" s="3">
        <v>489.16</v>
      </c>
      <c r="L976">
        <v>0</v>
      </c>
      <c r="M976" s="2">
        <v>1467.48</v>
      </c>
      <c r="N976" s="2">
        <v>908.49</v>
      </c>
      <c r="O976" s="2">
        <v>558.99</v>
      </c>
      <c r="P976" s="1">
        <f>(Sales_Data[[#This Row],[Profit]]/Sales_Data[[#This Row],[Revenue]])</f>
        <v>0.3809183089377709</v>
      </c>
    </row>
    <row r="977" spans="1:16" x14ac:dyDescent="0.35">
      <c r="A977" t="s">
        <v>94</v>
      </c>
      <c r="B977" s="5" t="s">
        <v>93</v>
      </c>
      <c r="C977" s="5" t="s">
        <v>72</v>
      </c>
      <c r="D977" s="5" t="str">
        <f>"Q"&amp;ROUNDUP(MONTH(B977)/3,0)</f>
        <v>Q4</v>
      </c>
      <c r="E977" t="s">
        <v>16</v>
      </c>
      <c r="F977" t="s">
        <v>63</v>
      </c>
      <c r="G977" t="s">
        <v>92</v>
      </c>
      <c r="H977" t="s">
        <v>9</v>
      </c>
      <c r="I977" t="s">
        <v>8</v>
      </c>
      <c r="J977" s="4">
        <v>5</v>
      </c>
      <c r="K977" s="3">
        <v>54712.36</v>
      </c>
      <c r="L977">
        <v>0</v>
      </c>
      <c r="M977" s="2">
        <v>273561.8</v>
      </c>
      <c r="N977" s="2">
        <v>153641.37</v>
      </c>
      <c r="O977" s="2">
        <v>119920.43</v>
      </c>
      <c r="P977" s="1">
        <f>(Sales_Data[[#This Row],[Profit]]/Sales_Data[[#This Row],[Revenue]])</f>
        <v>0.43836686993578783</v>
      </c>
    </row>
    <row r="978" spans="1:16" x14ac:dyDescent="0.35">
      <c r="A978" t="s">
        <v>91</v>
      </c>
      <c r="B978" s="5" t="s">
        <v>90</v>
      </c>
      <c r="C978" s="5" t="s">
        <v>72</v>
      </c>
      <c r="D978" s="5" t="str">
        <f>"Q"&amp;ROUNDUP(MONTH(B978)/3,0)</f>
        <v>Q4</v>
      </c>
      <c r="E978" t="s">
        <v>23</v>
      </c>
      <c r="F978" t="s">
        <v>11</v>
      </c>
      <c r="G978" t="s">
        <v>68</v>
      </c>
      <c r="H978" t="s">
        <v>50</v>
      </c>
      <c r="I978" t="s">
        <v>49</v>
      </c>
      <c r="J978" s="4">
        <v>4</v>
      </c>
      <c r="K978" s="3">
        <v>4143.8500000000004</v>
      </c>
      <c r="L978">
        <v>0</v>
      </c>
      <c r="M978" s="2">
        <v>16575.400000000001</v>
      </c>
      <c r="N978" s="2">
        <v>11737.59</v>
      </c>
      <c r="O978" s="2">
        <v>4837.8100000000004</v>
      </c>
      <c r="P978" s="1">
        <f>(Sales_Data[[#This Row],[Profit]]/Sales_Data[[#This Row],[Revenue]])</f>
        <v>0.29186686294146746</v>
      </c>
    </row>
    <row r="979" spans="1:16" x14ac:dyDescent="0.35">
      <c r="A979" t="s">
        <v>89</v>
      </c>
      <c r="B979" s="5" t="s">
        <v>88</v>
      </c>
      <c r="C979" s="5" t="s">
        <v>72</v>
      </c>
      <c r="D979" s="5" t="str">
        <f>"Q"&amp;ROUNDUP(MONTH(B979)/3,0)</f>
        <v>Q4</v>
      </c>
      <c r="E979" t="s">
        <v>4</v>
      </c>
      <c r="F979" t="s">
        <v>11</v>
      </c>
      <c r="G979" t="s">
        <v>15</v>
      </c>
      <c r="H979" t="s">
        <v>14</v>
      </c>
      <c r="I979" t="s">
        <v>8</v>
      </c>
      <c r="J979" s="4">
        <v>3</v>
      </c>
      <c r="K979" s="3">
        <v>2686.72</v>
      </c>
      <c r="L979">
        <v>0</v>
      </c>
      <c r="M979" s="2">
        <v>8060.16</v>
      </c>
      <c r="N979" s="2">
        <v>6657.96</v>
      </c>
      <c r="O979" s="2">
        <v>1402.2</v>
      </c>
      <c r="P979" s="1">
        <f>(Sales_Data[[#This Row],[Profit]]/Sales_Data[[#This Row],[Revenue]])</f>
        <v>0.17396676989042403</v>
      </c>
    </row>
    <row r="980" spans="1:16" x14ac:dyDescent="0.35">
      <c r="A980" t="s">
        <v>87</v>
      </c>
      <c r="B980" s="5" t="s">
        <v>86</v>
      </c>
      <c r="C980" s="5" t="s">
        <v>72</v>
      </c>
      <c r="D980" s="5" t="str">
        <f>"Q"&amp;ROUNDUP(MONTH(B980)/3,0)</f>
        <v>Q4</v>
      </c>
      <c r="E980" t="s">
        <v>36</v>
      </c>
      <c r="F980" t="s">
        <v>3</v>
      </c>
      <c r="G980" t="s">
        <v>85</v>
      </c>
      <c r="H980" t="s">
        <v>9</v>
      </c>
      <c r="I980" t="s">
        <v>8</v>
      </c>
      <c r="J980" s="4">
        <v>6</v>
      </c>
      <c r="K980" s="3">
        <v>58208.94</v>
      </c>
      <c r="L980">
        <v>0</v>
      </c>
      <c r="M980" s="2">
        <v>349253.64</v>
      </c>
      <c r="N980" s="2">
        <v>204467.84</v>
      </c>
      <c r="O980" s="2">
        <v>144785.79999999999</v>
      </c>
      <c r="P980" s="1">
        <f>(Sales_Data[[#This Row],[Profit]]/Sales_Data[[#This Row],[Revenue]])</f>
        <v>0.41455774090142622</v>
      </c>
    </row>
    <row r="981" spans="1:16" x14ac:dyDescent="0.35">
      <c r="A981" t="s">
        <v>84</v>
      </c>
      <c r="B981" s="5" t="s">
        <v>83</v>
      </c>
      <c r="C981" s="5" t="s">
        <v>72</v>
      </c>
      <c r="D981" s="5" t="str">
        <f>"Q"&amp;ROUNDUP(MONTH(B981)/3,0)</f>
        <v>Q4</v>
      </c>
      <c r="E981" t="s">
        <v>36</v>
      </c>
      <c r="F981" t="s">
        <v>11</v>
      </c>
      <c r="G981" t="s">
        <v>82</v>
      </c>
      <c r="H981" t="s">
        <v>45</v>
      </c>
      <c r="I981" t="s">
        <v>8</v>
      </c>
      <c r="J981" s="4">
        <v>3</v>
      </c>
      <c r="K981" s="3">
        <v>969.86</v>
      </c>
      <c r="L981">
        <v>0</v>
      </c>
      <c r="M981" s="2">
        <v>2909.58</v>
      </c>
      <c r="N981" s="2">
        <v>1619.83</v>
      </c>
      <c r="O981" s="2">
        <v>1289.75</v>
      </c>
      <c r="P981" s="1">
        <f>(Sales_Data[[#This Row],[Profit]]/Sales_Data[[#This Row],[Revenue]])</f>
        <v>0.44327703654823036</v>
      </c>
    </row>
    <row r="982" spans="1:16" x14ac:dyDescent="0.35">
      <c r="A982" t="s">
        <v>81</v>
      </c>
      <c r="B982" s="5" t="s">
        <v>80</v>
      </c>
      <c r="C982" s="5" t="s">
        <v>72</v>
      </c>
      <c r="D982" s="5" t="str">
        <f>"Q"&amp;ROUNDUP(MONTH(B982)/3,0)</f>
        <v>Q4</v>
      </c>
      <c r="E982" t="s">
        <v>23</v>
      </c>
      <c r="F982" t="s">
        <v>22</v>
      </c>
      <c r="G982" t="s">
        <v>79</v>
      </c>
      <c r="H982" t="s">
        <v>78</v>
      </c>
      <c r="I982" t="s">
        <v>19</v>
      </c>
      <c r="J982" s="4">
        <v>2</v>
      </c>
      <c r="K982" s="3">
        <v>113.58</v>
      </c>
      <c r="L982">
        <v>0</v>
      </c>
      <c r="M982" s="2">
        <v>227.16</v>
      </c>
      <c r="N982" s="2">
        <v>181.37</v>
      </c>
      <c r="O982" s="2">
        <v>45.79</v>
      </c>
      <c r="P982" s="1">
        <f>(Sales_Data[[#This Row],[Profit]]/Sales_Data[[#This Row],[Revenue]])</f>
        <v>0.20157598168691671</v>
      </c>
    </row>
    <row r="983" spans="1:16" x14ac:dyDescent="0.35">
      <c r="A983" t="s">
        <v>77</v>
      </c>
      <c r="B983" s="5" t="s">
        <v>76</v>
      </c>
      <c r="C983" s="5" t="s">
        <v>72</v>
      </c>
      <c r="D983" s="5" t="str">
        <f>"Q"&amp;ROUNDUP(MONTH(B983)/3,0)</f>
        <v>Q4</v>
      </c>
      <c r="E983" t="s">
        <v>23</v>
      </c>
      <c r="F983" t="s">
        <v>56</v>
      </c>
      <c r="G983" t="s">
        <v>75</v>
      </c>
      <c r="H983" t="s">
        <v>45</v>
      </c>
      <c r="I983" t="s">
        <v>8</v>
      </c>
      <c r="J983" s="4">
        <v>1</v>
      </c>
      <c r="K983" s="3">
        <v>885.2</v>
      </c>
      <c r="L983">
        <v>0</v>
      </c>
      <c r="M983" s="2">
        <v>885.2</v>
      </c>
      <c r="N983" s="2">
        <v>586.04999999999995</v>
      </c>
      <c r="O983" s="2">
        <v>299.14999999999998</v>
      </c>
      <c r="P983" s="1">
        <f>(Sales_Data[[#This Row],[Profit]]/Sales_Data[[#This Row],[Revenue]])</f>
        <v>0.33794622684139175</v>
      </c>
    </row>
    <row r="984" spans="1:16" x14ac:dyDescent="0.35">
      <c r="A984" t="s">
        <v>74</v>
      </c>
      <c r="B984" s="5" t="s">
        <v>73</v>
      </c>
      <c r="C984" s="5" t="s">
        <v>72</v>
      </c>
      <c r="D984" s="5" t="str">
        <f>"Q"&amp;ROUNDUP(MONTH(B984)/3,0)</f>
        <v>Q4</v>
      </c>
      <c r="E984" t="s">
        <v>4</v>
      </c>
      <c r="F984" t="s">
        <v>52</v>
      </c>
      <c r="G984" t="s">
        <v>71</v>
      </c>
      <c r="H984" t="s">
        <v>45</v>
      </c>
      <c r="I984" t="s">
        <v>8</v>
      </c>
      <c r="J984" s="4">
        <v>3</v>
      </c>
      <c r="K984" s="3">
        <v>935.98</v>
      </c>
      <c r="L984">
        <v>0</v>
      </c>
      <c r="M984" s="2">
        <v>2807.94</v>
      </c>
      <c r="N984" s="2">
        <v>1968.14</v>
      </c>
      <c r="O984" s="2">
        <v>839.8</v>
      </c>
      <c r="P984" s="1">
        <f>(Sales_Data[[#This Row],[Profit]]/Sales_Data[[#This Row],[Revenue]])</f>
        <v>0.29908046468229377</v>
      </c>
    </row>
    <row r="985" spans="1:16" x14ac:dyDescent="0.35">
      <c r="A985" t="s">
        <v>70</v>
      </c>
      <c r="B985" s="5" t="s">
        <v>69</v>
      </c>
      <c r="C985" s="5" t="s">
        <v>5</v>
      </c>
      <c r="D985" s="5" t="str">
        <f>"Q"&amp;ROUNDUP(MONTH(B985)/3,0)</f>
        <v>Q3</v>
      </c>
      <c r="E985" t="s">
        <v>4</v>
      </c>
      <c r="F985" t="s">
        <v>56</v>
      </c>
      <c r="G985" t="s">
        <v>68</v>
      </c>
      <c r="H985" t="s">
        <v>34</v>
      </c>
      <c r="I985" t="s">
        <v>8</v>
      </c>
      <c r="J985" s="4">
        <v>1</v>
      </c>
      <c r="K985" s="3">
        <v>22572.17</v>
      </c>
      <c r="L985">
        <v>0</v>
      </c>
      <c r="M985" s="2">
        <v>22572.17</v>
      </c>
      <c r="N985" s="2">
        <v>16044.65</v>
      </c>
      <c r="O985" s="2">
        <v>6527.52</v>
      </c>
      <c r="P985" s="1">
        <f>(Sales_Data[[#This Row],[Profit]]/Sales_Data[[#This Row],[Revenue]])</f>
        <v>0.28918442489135965</v>
      </c>
    </row>
    <row r="986" spans="1:16" x14ac:dyDescent="0.35">
      <c r="A986" t="s">
        <v>67</v>
      </c>
      <c r="B986" s="5" t="s">
        <v>27</v>
      </c>
      <c r="C986" s="5" t="s">
        <v>5</v>
      </c>
      <c r="D986" s="5" t="str">
        <f>"Q"&amp;ROUNDUP(MONTH(B986)/3,0)</f>
        <v>Q3</v>
      </c>
      <c r="E986" t="s">
        <v>36</v>
      </c>
      <c r="F986" t="s">
        <v>56</v>
      </c>
      <c r="G986" t="s">
        <v>66</v>
      </c>
      <c r="H986" t="s">
        <v>59</v>
      </c>
      <c r="I986" t="s">
        <v>0</v>
      </c>
      <c r="J986" s="4">
        <v>8</v>
      </c>
      <c r="K986" s="3">
        <v>1584.29</v>
      </c>
      <c r="L986">
        <v>0</v>
      </c>
      <c r="M986" s="2">
        <v>12674.32</v>
      </c>
      <c r="N986" s="2">
        <v>9640.7000000000007</v>
      </c>
      <c r="O986" s="2">
        <v>3033.62</v>
      </c>
      <c r="P986" s="1">
        <f>(Sales_Data[[#This Row],[Profit]]/Sales_Data[[#This Row],[Revenue]])</f>
        <v>0.23935169697467004</v>
      </c>
    </row>
    <row r="987" spans="1:16" x14ac:dyDescent="0.35">
      <c r="A987" t="s">
        <v>65</v>
      </c>
      <c r="B987" s="5" t="s">
        <v>64</v>
      </c>
      <c r="C987" s="5" t="s">
        <v>5</v>
      </c>
      <c r="D987" s="5" t="str">
        <f>"Q"&amp;ROUNDUP(MONTH(B987)/3,0)</f>
        <v>Q3</v>
      </c>
      <c r="E987" t="s">
        <v>4</v>
      </c>
      <c r="F987" t="s">
        <v>63</v>
      </c>
      <c r="G987" t="s">
        <v>35</v>
      </c>
      <c r="H987" t="s">
        <v>34</v>
      </c>
      <c r="I987" t="s">
        <v>8</v>
      </c>
      <c r="J987" s="4">
        <v>2</v>
      </c>
      <c r="K987" s="3">
        <v>26112</v>
      </c>
      <c r="L987">
        <v>0</v>
      </c>
      <c r="M987" s="2">
        <v>52224</v>
      </c>
      <c r="N987" s="2">
        <v>42990.5</v>
      </c>
      <c r="O987" s="2">
        <v>9233.5</v>
      </c>
      <c r="P987" s="1">
        <f>(Sales_Data[[#This Row],[Profit]]/Sales_Data[[#This Row],[Revenue]])</f>
        <v>0.17680568321078433</v>
      </c>
    </row>
    <row r="988" spans="1:16" x14ac:dyDescent="0.35">
      <c r="A988" t="s">
        <v>62</v>
      </c>
      <c r="B988" s="5" t="s">
        <v>61</v>
      </c>
      <c r="C988" s="5" t="s">
        <v>5</v>
      </c>
      <c r="D988" s="5" t="str">
        <f>"Q"&amp;ROUNDUP(MONTH(B988)/3,0)</f>
        <v>Q3</v>
      </c>
      <c r="E988" t="s">
        <v>16</v>
      </c>
      <c r="F988" t="s">
        <v>56</v>
      </c>
      <c r="G988" t="s">
        <v>60</v>
      </c>
      <c r="H988" t="s">
        <v>59</v>
      </c>
      <c r="I988" t="s">
        <v>0</v>
      </c>
      <c r="J988" s="4">
        <v>1</v>
      </c>
      <c r="K988" s="3">
        <v>1465.12</v>
      </c>
      <c r="L988">
        <v>0</v>
      </c>
      <c r="M988" s="2">
        <v>1465.12</v>
      </c>
      <c r="N988" s="2">
        <v>1192.5899999999999</v>
      </c>
      <c r="O988" s="2">
        <v>272.52999999999997</v>
      </c>
      <c r="P988" s="1">
        <f>(Sales_Data[[#This Row],[Profit]]/Sales_Data[[#This Row],[Revenue]])</f>
        <v>0.18601206727094027</v>
      </c>
    </row>
    <row r="989" spans="1:16" x14ac:dyDescent="0.35">
      <c r="A989" t="s">
        <v>58</v>
      </c>
      <c r="B989" s="5" t="s">
        <v>57</v>
      </c>
      <c r="C989" s="5" t="s">
        <v>5</v>
      </c>
      <c r="D989" s="5" t="str">
        <f>"Q"&amp;ROUNDUP(MONTH(B989)/3,0)</f>
        <v>Q3</v>
      </c>
      <c r="E989" t="s">
        <v>23</v>
      </c>
      <c r="F989" t="s">
        <v>56</v>
      </c>
      <c r="G989" t="s">
        <v>55</v>
      </c>
      <c r="H989" t="s">
        <v>1</v>
      </c>
      <c r="I989" t="s">
        <v>0</v>
      </c>
      <c r="J989" s="4">
        <v>2</v>
      </c>
      <c r="K989" s="3">
        <v>540.29</v>
      </c>
      <c r="L989">
        <v>0</v>
      </c>
      <c r="M989" s="2">
        <v>1080.58</v>
      </c>
      <c r="N989" s="2">
        <v>723.85</v>
      </c>
      <c r="O989" s="2">
        <v>356.73</v>
      </c>
      <c r="P989" s="1">
        <f>(Sales_Data[[#This Row],[Profit]]/Sales_Data[[#This Row],[Revenue]])</f>
        <v>0.33012826445057286</v>
      </c>
    </row>
    <row r="990" spans="1:16" x14ac:dyDescent="0.35">
      <c r="A990" t="s">
        <v>54</v>
      </c>
      <c r="B990" s="5" t="s">
        <v>53</v>
      </c>
      <c r="C990" s="5" t="s">
        <v>5</v>
      </c>
      <c r="D990" s="5" t="str">
        <f>"Q"&amp;ROUNDUP(MONTH(B990)/3,0)</f>
        <v>Q3</v>
      </c>
      <c r="E990" t="s">
        <v>23</v>
      </c>
      <c r="F990" t="s">
        <v>52</v>
      </c>
      <c r="G990" t="s">
        <v>51</v>
      </c>
      <c r="H990" t="s">
        <v>50</v>
      </c>
      <c r="I990" t="s">
        <v>49</v>
      </c>
      <c r="J990" s="4">
        <v>2</v>
      </c>
      <c r="K990" s="3">
        <v>4073.52</v>
      </c>
      <c r="L990">
        <v>0</v>
      </c>
      <c r="M990" s="2">
        <v>8147.04</v>
      </c>
      <c r="N990" s="2">
        <v>5367.78</v>
      </c>
      <c r="O990" s="2">
        <v>2779.26</v>
      </c>
      <c r="P990" s="1">
        <f>(Sales_Data[[#This Row],[Profit]]/Sales_Data[[#This Row],[Revenue]])</f>
        <v>0.34113739468567728</v>
      </c>
    </row>
    <row r="991" spans="1:16" x14ac:dyDescent="0.35">
      <c r="A991" t="s">
        <v>48</v>
      </c>
      <c r="B991" s="5" t="s">
        <v>47</v>
      </c>
      <c r="C991" s="5" t="s">
        <v>5</v>
      </c>
      <c r="D991" s="5" t="str">
        <f>"Q"&amp;ROUNDUP(MONTH(B991)/3,0)</f>
        <v>Q3</v>
      </c>
      <c r="E991" t="s">
        <v>23</v>
      </c>
      <c r="F991" t="s">
        <v>22</v>
      </c>
      <c r="G991" t="s">
        <v>46</v>
      </c>
      <c r="H991" t="s">
        <v>45</v>
      </c>
      <c r="I991" t="s">
        <v>8</v>
      </c>
      <c r="J991" s="4">
        <v>7</v>
      </c>
      <c r="K991" s="3">
        <v>969.64</v>
      </c>
      <c r="L991">
        <v>0</v>
      </c>
      <c r="M991" s="2">
        <v>6787.48</v>
      </c>
      <c r="N991" s="2">
        <v>4197.26</v>
      </c>
      <c r="O991" s="2">
        <v>2590.2199999999998</v>
      </c>
      <c r="P991" s="1">
        <f>(Sales_Data[[#This Row],[Profit]]/Sales_Data[[#This Row],[Revenue]])</f>
        <v>0.38161733073246623</v>
      </c>
    </row>
    <row r="992" spans="1:16" x14ac:dyDescent="0.35">
      <c r="A992" t="s">
        <v>44</v>
      </c>
      <c r="B992" s="5" t="s">
        <v>43</v>
      </c>
      <c r="C992" s="5" t="s">
        <v>5</v>
      </c>
      <c r="D992" s="5" t="str">
        <f>"Q"&amp;ROUNDUP(MONTH(B992)/3,0)</f>
        <v>Q3</v>
      </c>
      <c r="E992" t="s">
        <v>36</v>
      </c>
      <c r="F992" t="s">
        <v>22</v>
      </c>
      <c r="G992" t="s">
        <v>42</v>
      </c>
      <c r="H992" t="s">
        <v>14</v>
      </c>
      <c r="I992" t="s">
        <v>8</v>
      </c>
      <c r="J992" s="4">
        <v>8</v>
      </c>
      <c r="K992" s="3">
        <v>2718.49</v>
      </c>
      <c r="L992">
        <v>0</v>
      </c>
      <c r="M992" s="2">
        <v>21747.919999999998</v>
      </c>
      <c r="N992" s="2">
        <v>17350.97</v>
      </c>
      <c r="O992" s="2">
        <v>4396.95</v>
      </c>
      <c r="P992" s="1">
        <f>(Sales_Data[[#This Row],[Profit]]/Sales_Data[[#This Row],[Revenue]])</f>
        <v>0.20217795540906902</v>
      </c>
    </row>
    <row r="993" spans="1:16" x14ac:dyDescent="0.35">
      <c r="A993" t="s">
        <v>41</v>
      </c>
      <c r="B993" s="5" t="s">
        <v>40</v>
      </c>
      <c r="C993" s="5" t="s">
        <v>5</v>
      </c>
      <c r="D993" s="5" t="str">
        <f>"Q"&amp;ROUNDUP(MONTH(B993)/3,0)</f>
        <v>Q3</v>
      </c>
      <c r="E993" t="s">
        <v>4</v>
      </c>
      <c r="F993" t="s">
        <v>11</v>
      </c>
      <c r="G993" t="s">
        <v>39</v>
      </c>
      <c r="H993" t="s">
        <v>20</v>
      </c>
      <c r="I993" t="s">
        <v>19</v>
      </c>
      <c r="J993" s="4">
        <v>5</v>
      </c>
      <c r="K993" s="3">
        <v>31.88</v>
      </c>
      <c r="L993">
        <v>0</v>
      </c>
      <c r="M993" s="2">
        <v>159.4</v>
      </c>
      <c r="N993" s="2">
        <v>134.09</v>
      </c>
      <c r="O993" s="2">
        <v>25.31</v>
      </c>
      <c r="P993" s="1">
        <f>(Sales_Data[[#This Row],[Profit]]/Sales_Data[[#This Row],[Revenue]])</f>
        <v>0.15878293601003762</v>
      </c>
    </row>
    <row r="994" spans="1:16" x14ac:dyDescent="0.35">
      <c r="A994" t="s">
        <v>38</v>
      </c>
      <c r="B994" s="5" t="s">
        <v>37</v>
      </c>
      <c r="C994" s="5" t="s">
        <v>5</v>
      </c>
      <c r="D994" s="5" t="str">
        <f>"Q"&amp;ROUNDUP(MONTH(B994)/3,0)</f>
        <v>Q3</v>
      </c>
      <c r="E994" t="s">
        <v>36</v>
      </c>
      <c r="F994" t="s">
        <v>3</v>
      </c>
      <c r="G994" t="s">
        <v>35</v>
      </c>
      <c r="H994" t="s">
        <v>34</v>
      </c>
      <c r="I994" t="s">
        <v>8</v>
      </c>
      <c r="J994" s="4">
        <v>2</v>
      </c>
      <c r="K994" s="3">
        <v>25674.7</v>
      </c>
      <c r="L994">
        <v>0</v>
      </c>
      <c r="M994" s="2">
        <v>51349.4</v>
      </c>
      <c r="N994" s="2">
        <v>35261.910000000003</v>
      </c>
      <c r="O994" s="2">
        <v>16087.49</v>
      </c>
      <c r="P994" s="1">
        <f>(Sales_Data[[#This Row],[Profit]]/Sales_Data[[#This Row],[Revenue]])</f>
        <v>0.31329460519499741</v>
      </c>
    </row>
    <row r="995" spans="1:16" x14ac:dyDescent="0.35">
      <c r="A995" t="s">
        <v>33</v>
      </c>
      <c r="B995" s="5" t="s">
        <v>32</v>
      </c>
      <c r="C995" s="5" t="s">
        <v>5</v>
      </c>
      <c r="D995" s="5" t="str">
        <f>"Q"&amp;ROUNDUP(MONTH(B995)/3,0)</f>
        <v>Q3</v>
      </c>
      <c r="E995" t="s">
        <v>4</v>
      </c>
      <c r="F995" t="s">
        <v>22</v>
      </c>
      <c r="G995" t="s">
        <v>31</v>
      </c>
      <c r="H995" t="s">
        <v>1</v>
      </c>
      <c r="I995" t="s">
        <v>0</v>
      </c>
      <c r="J995" s="4">
        <v>3</v>
      </c>
      <c r="K995" s="3">
        <v>468.67</v>
      </c>
      <c r="L995">
        <v>0</v>
      </c>
      <c r="M995" s="2">
        <v>1406.01</v>
      </c>
      <c r="N995" s="2">
        <v>1120.49</v>
      </c>
      <c r="O995" s="2">
        <v>285.52</v>
      </c>
      <c r="P995" s="1">
        <f>(Sales_Data[[#This Row],[Profit]]/Sales_Data[[#This Row],[Revenue]])</f>
        <v>0.20307110191250416</v>
      </c>
    </row>
    <row r="996" spans="1:16" x14ac:dyDescent="0.35">
      <c r="A996" t="s">
        <v>30</v>
      </c>
      <c r="B996" s="5" t="s">
        <v>6</v>
      </c>
      <c r="C996" s="5" t="s">
        <v>5</v>
      </c>
      <c r="D996" s="5" t="str">
        <f>"Q"&amp;ROUNDUP(MONTH(B996)/3,0)</f>
        <v>Q3</v>
      </c>
      <c r="E996" t="s">
        <v>4</v>
      </c>
      <c r="F996" t="s">
        <v>11</v>
      </c>
      <c r="G996" t="s">
        <v>29</v>
      </c>
      <c r="H996" t="s">
        <v>9</v>
      </c>
      <c r="I996" t="s">
        <v>8</v>
      </c>
      <c r="J996" s="4">
        <v>2</v>
      </c>
      <c r="K996" s="3">
        <v>56525.67</v>
      </c>
      <c r="L996">
        <v>0</v>
      </c>
      <c r="M996" s="2">
        <v>113051.34</v>
      </c>
      <c r="N996" s="2">
        <v>77088.94</v>
      </c>
      <c r="O996" s="2">
        <v>35962.400000000001</v>
      </c>
      <c r="P996" s="1">
        <f>(Sales_Data[[#This Row],[Profit]]/Sales_Data[[#This Row],[Revenue]])</f>
        <v>0.31810679997247271</v>
      </c>
    </row>
    <row r="997" spans="1:16" x14ac:dyDescent="0.35">
      <c r="A997" t="s">
        <v>28</v>
      </c>
      <c r="B997" s="5" t="s">
        <v>27</v>
      </c>
      <c r="C997" s="5" t="s">
        <v>5</v>
      </c>
      <c r="D997" s="5" t="str">
        <f>"Q"&amp;ROUNDUP(MONTH(B997)/3,0)</f>
        <v>Q3</v>
      </c>
      <c r="E997" t="s">
        <v>4</v>
      </c>
      <c r="F997" t="s">
        <v>22</v>
      </c>
      <c r="G997" t="s">
        <v>26</v>
      </c>
      <c r="H997" t="s">
        <v>1</v>
      </c>
      <c r="I997" t="s">
        <v>0</v>
      </c>
      <c r="J997" s="4">
        <v>1</v>
      </c>
      <c r="K997" s="3">
        <v>490.22</v>
      </c>
      <c r="L997">
        <v>0</v>
      </c>
      <c r="M997" s="2">
        <v>490.22</v>
      </c>
      <c r="N997" s="2">
        <v>398.74</v>
      </c>
      <c r="O997" s="2">
        <v>91.48</v>
      </c>
      <c r="P997" s="1">
        <f>(Sales_Data[[#This Row],[Profit]]/Sales_Data[[#This Row],[Revenue]])</f>
        <v>0.18661009342744073</v>
      </c>
    </row>
    <row r="998" spans="1:16" x14ac:dyDescent="0.35">
      <c r="A998" t="s">
        <v>25</v>
      </c>
      <c r="B998" s="5" t="s">
        <v>24</v>
      </c>
      <c r="C998" s="5" t="s">
        <v>5</v>
      </c>
      <c r="D998" s="5" t="str">
        <f>"Q"&amp;ROUNDUP(MONTH(B998)/3,0)</f>
        <v>Q3</v>
      </c>
      <c r="E998" t="s">
        <v>23</v>
      </c>
      <c r="F998" t="s">
        <v>22</v>
      </c>
      <c r="G998" t="s">
        <v>21</v>
      </c>
      <c r="H998" t="s">
        <v>20</v>
      </c>
      <c r="I998" t="s">
        <v>19</v>
      </c>
      <c r="J998" s="4">
        <v>4</v>
      </c>
      <c r="K998" s="3">
        <v>30.07</v>
      </c>
      <c r="L998">
        <v>0</v>
      </c>
      <c r="M998" s="2">
        <v>120.28</v>
      </c>
      <c r="N998" s="2">
        <v>82.05</v>
      </c>
      <c r="O998" s="2">
        <v>38.229999999999997</v>
      </c>
      <c r="P998" s="1">
        <f>(Sales_Data[[#This Row],[Profit]]/Sales_Data[[#This Row],[Revenue]])</f>
        <v>0.31784170269371465</v>
      </c>
    </row>
    <row r="999" spans="1:16" x14ac:dyDescent="0.35">
      <c r="A999" t="s">
        <v>18</v>
      </c>
      <c r="B999" s="5" t="s">
        <v>17</v>
      </c>
      <c r="C999" s="5" t="s">
        <v>5</v>
      </c>
      <c r="D999" s="5" t="str">
        <f>"Q"&amp;ROUNDUP(MONTH(B999)/3,0)</f>
        <v>Q3</v>
      </c>
      <c r="E999" t="s">
        <v>16</v>
      </c>
      <c r="F999" t="s">
        <v>11</v>
      </c>
      <c r="G999" t="s">
        <v>15</v>
      </c>
      <c r="H999" t="s">
        <v>14</v>
      </c>
      <c r="I999" t="s">
        <v>8</v>
      </c>
      <c r="J999" s="4">
        <v>1</v>
      </c>
      <c r="K999" s="3">
        <v>2474.0700000000002</v>
      </c>
      <c r="L999">
        <v>0</v>
      </c>
      <c r="M999" s="2">
        <v>2474.0700000000002</v>
      </c>
      <c r="N999" s="2">
        <v>1811.39</v>
      </c>
      <c r="O999" s="2">
        <v>662.68</v>
      </c>
      <c r="P999" s="1">
        <f>(Sales_Data[[#This Row],[Profit]]/Sales_Data[[#This Row],[Revenue]])</f>
        <v>0.26785014166939491</v>
      </c>
    </row>
    <row r="1000" spans="1:16" x14ac:dyDescent="0.35">
      <c r="A1000" t="s">
        <v>13</v>
      </c>
      <c r="B1000" s="5" t="s">
        <v>12</v>
      </c>
      <c r="C1000" s="5" t="s">
        <v>5</v>
      </c>
      <c r="D1000" s="5" t="str">
        <f>"Q"&amp;ROUNDUP(MONTH(B1000)/3,0)</f>
        <v>Q3</v>
      </c>
      <c r="E1000" t="s">
        <v>4</v>
      </c>
      <c r="F1000" t="s">
        <v>11</v>
      </c>
      <c r="G1000" t="s">
        <v>10</v>
      </c>
      <c r="H1000" t="s">
        <v>9</v>
      </c>
      <c r="I1000" t="s">
        <v>8</v>
      </c>
      <c r="J1000" s="4">
        <v>5</v>
      </c>
      <c r="K1000" s="3">
        <v>58099.83</v>
      </c>
      <c r="L1000">
        <v>0</v>
      </c>
      <c r="M1000" s="2">
        <v>290499.15000000002</v>
      </c>
      <c r="N1000" s="2">
        <v>161909.38</v>
      </c>
      <c r="O1000" s="2">
        <v>128589.77</v>
      </c>
      <c r="P1000" s="1">
        <f>(Sales_Data[[#This Row],[Profit]]/Sales_Data[[#This Row],[Revenue]])</f>
        <v>0.44265110586382095</v>
      </c>
    </row>
    <row r="1001" spans="1:16" x14ac:dyDescent="0.35">
      <c r="A1001" t="s">
        <v>7</v>
      </c>
      <c r="B1001" s="5" t="s">
        <v>6</v>
      </c>
      <c r="C1001" s="5" t="s">
        <v>5</v>
      </c>
      <c r="D1001" s="5" t="str">
        <f>"Q"&amp;ROUNDUP(MONTH(B1001)/3,0)</f>
        <v>Q3</v>
      </c>
      <c r="E1001" t="s">
        <v>4</v>
      </c>
      <c r="F1001" t="s">
        <v>3</v>
      </c>
      <c r="G1001" t="s">
        <v>2</v>
      </c>
      <c r="H1001" t="s">
        <v>1</v>
      </c>
      <c r="I1001" t="s">
        <v>0</v>
      </c>
      <c r="J1001" s="4">
        <v>8</v>
      </c>
      <c r="K1001" s="3">
        <v>489.38</v>
      </c>
      <c r="L1001">
        <v>0</v>
      </c>
      <c r="M1001" s="2">
        <v>3915.04</v>
      </c>
      <c r="N1001" s="2">
        <v>3031.1</v>
      </c>
      <c r="O1001" s="2">
        <v>883.94</v>
      </c>
      <c r="P1001" s="1">
        <f>(Sales_Data[[#This Row],[Profit]]/Sales_Data[[#This Row],[Revenue]])</f>
        <v>0.2257805795087662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FreshMart Sales Report 2025</vt:lpstr>
      <vt:lpstr>Insights</vt:lpstr>
      <vt:lpstr>Business Recommedations</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Payal More</dc:creator>
  <cp:lastModifiedBy>Payal More</cp:lastModifiedBy>
  <dcterms:created xsi:type="dcterms:W3CDTF">2026-07-04T15:31:20Z</dcterms:created>
  <dcterms:modified xsi:type="dcterms:W3CDTF">2026-07-04T15:41:44Z</dcterms:modified>
</cp:coreProperties>
</file>